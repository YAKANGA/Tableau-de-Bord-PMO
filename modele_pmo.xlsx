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tiel" sheetId="1" state="visible" r:id="rId1"/>
    <sheet xmlns:r="http://schemas.openxmlformats.org/officeDocument/2006/relationships" name="Projets" sheetId="2" state="visible" r:id="rId2"/>
    <sheet xmlns:r="http://schemas.openxmlformats.org/officeDocument/2006/relationships" name="Suivi mensuel" sheetId="3" state="visible" r:id="rId3"/>
    <sheet xmlns:r="http://schemas.openxmlformats.org/officeDocument/2006/relationships" name="Risques" sheetId="4" state="visible" r:id="rId4"/>
    <sheet xmlns:r="http://schemas.openxmlformats.org/officeDocument/2006/relationships" name="Decisions" sheetId="5" state="visible" r:id="rId5"/>
    <sheet xmlns:r="http://schemas.openxmlformats.org/officeDocument/2006/relationships" name="Regles 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ferentielPMO" displayName="ReferentielPMO" ref="A1:J100" headerRowCount="1">
  <autoFilter ref="A1:J100"/>
  <tableColumns count="10">
    <tableColumn id="1" name="Pôle"/>
    <tableColumn id="2" name="Responsable pôle"/>
    <tableColumn id="3" name="Filiale / Entité"/>
    <tableColumn id="4" name="Responsable filiale"/>
    <tableColumn id="5" name="Secteur"/>
    <tableColumn id="6" name="Responsable secteur"/>
    <tableColumn id="7" name="Pays"/>
    <tableColumn id="8" name="Localisation"/>
    <tableColumn id="9" name="Type de contrat"/>
    <tableColumn id="10" name="Contact"/>
  </tableColumns>
  <tableStyleInfo name="TableStyleMedium4" showFirstColumn="0" showRowStripes="1"/>
</table>
</file>

<file path=xl/tables/table2.xml><?xml version="1.0" encoding="utf-8"?>
<table xmlns="http://schemas.openxmlformats.org/spreadsheetml/2006/main" id="2" name="ProjetsPMO" displayName="ProjetsPMO" ref="A1:AI101" headerRowCount="1">
  <autoFilter ref="A1:AI101"/>
  <tableColumns count="35">
    <tableColumn id="1" name="Code projet"/>
    <tableColumn id="2" name="Nom du Projet"/>
    <tableColumn id="3" name="Client / Maître d’ouvrage"/>
    <tableColumn id="4" name="Pays"/>
    <tableColumn id="5" name="Localisation"/>
    <tableColumn id="6" name="Secteur"/>
    <tableColumn id="7" name="Responsable secteur"/>
    <tableColumn id="8" name="Pôle"/>
    <tableColumn id="9" name="Responsable pôle"/>
    <tableColumn id="10" name="Filiale / Entité"/>
    <tableColumn id="11" name="Responsable filiale"/>
    <tableColumn id="12" name="Nom du directeur"/>
    <tableColumn id="13" name="Responsable projet"/>
    <tableColumn id="14" name="Coût marché FCFA HT"/>
    <tableColumn id="15" name="Coût marché FCFA TTC"/>
    <tableColumn id="16" name="Budget prévisionnel FCFA TTC"/>
    <tableColumn id="17" name="Valeur acquise"/>
    <tableColumn id="18" name="Dépenses"/>
    <tableColumn id="19" name="Montant facturé"/>
    <tableColumn id="20" name="Montant encaissé"/>
    <tableColumn id="21" name="Impayés"/>
    <tableColumn id="22" name="Taux de facturation"/>
    <tableColumn id="23" name="Taux d’encaissement"/>
    <tableColumn id="24" name="SPI"/>
    <tableColumn id="25" name="CPI"/>
    <tableColumn id="26" name="% physique"/>
    <tableColumn id="27" name="Durée des travaux (mois)"/>
    <tableColumn id="28" name="Date de début"/>
    <tableColumn id="29" name="Date de fin contractuelle"/>
    <tableColumn id="30" name="Date de fin prolongée"/>
    <tableColumn id="31" name="Statut du projet"/>
    <tableColumn id="32" name="Statut PMO"/>
    <tableColumn id="33" name="Principaux risques / blocages"/>
    <tableColumn id="34" name="Décisions attendues de la DG"/>
    <tableColumn id="35" name="Observations"/>
  </tableColumns>
  <tableStyleInfo name="TableStyleMedium4" showFirstColumn="0" showRowStripes="1"/>
</table>
</file>

<file path=xl/tables/table3.xml><?xml version="1.0" encoding="utf-8"?>
<table xmlns="http://schemas.openxmlformats.org/spreadsheetml/2006/main" id="3" name="SuiviMensuelPMO" displayName="SuiviMensuelPMO" ref="A1:O301" headerRowCount="1">
  <autoFilter ref="A1:O301"/>
  <tableColumns count="15">
    <tableColumn id="1" name="Période"/>
    <tableColumn id="2" name="Code projet"/>
    <tableColumn id="3" name="Avancement prévu %"/>
    <tableColumn id="4" name="Avancement réel %"/>
    <tableColumn id="5" name="Valeur acquise"/>
    <tableColumn id="6" name="Dépenses"/>
    <tableColumn id="7" name="Montant facturé"/>
    <tableColumn id="8" name="Montant encaissé"/>
    <tableColumn id="9" name="Impayés"/>
    <tableColumn id="10" name="Taux de facturation"/>
    <tableColumn id="11" name="Taux d’encaissement"/>
    <tableColumn id="12" name="SPI"/>
    <tableColumn id="13" name="CPI"/>
    <tableColumn id="14" name="Statut du mois"/>
    <tableColumn id="15" name="Commentaires"/>
  </tableColumns>
  <tableStyleInfo name="TableStyleMedium4" showFirstColumn="0" showRowStripes="1"/>
</table>
</file>

<file path=xl/tables/table4.xml><?xml version="1.0" encoding="utf-8"?>
<table xmlns="http://schemas.openxmlformats.org/spreadsheetml/2006/main" id="4" name="RisquesPMO" displayName="RisquesPMO" ref="A1:H101" headerRowCount="1">
  <autoFilter ref="A1:H101"/>
  <tableColumns count="8">
    <tableColumn id="1" name="Date"/>
    <tableColumn id="2" name="Code projet"/>
    <tableColumn id="3" name="Risque / Blocage"/>
    <tableColumn id="4" name="Niveau d’alerte"/>
    <tableColumn id="5" name="Responsable"/>
    <tableColumn id="6" name="Action attendue"/>
    <tableColumn id="7" name="Echéance"/>
    <tableColumn id="8" name="Statut"/>
  </tableColumns>
  <tableStyleInfo name="TableStyleMedium4" showFirstColumn="0" showRowStripes="1"/>
</table>
</file>

<file path=xl/tables/table5.xml><?xml version="1.0" encoding="utf-8"?>
<table xmlns="http://schemas.openxmlformats.org/spreadsheetml/2006/main" id="5" name="DecisionsPMO" displayName="DecisionsPMO" ref="A1:H101" headerRowCount="1">
  <autoFilter ref="A1:H101"/>
  <tableColumns count="8">
    <tableColumn id="1" name="Date"/>
    <tableColumn id="2" name="Code projet"/>
    <tableColumn id="3" name="Décision attendue"/>
    <tableColumn id="4" name="Instance"/>
    <tableColumn id="5" name="Responsable"/>
    <tableColumn id="6" name="Echéance"/>
    <tableColumn id="7" name="Statut"/>
    <tableColumn id="8" name="Commentaire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2" customWidth="1" min="4" max="4"/>
    <col width="12" customWidth="1" min="5" max="5"/>
    <col width="22" customWidth="1" min="6" max="6"/>
    <col width="16" customWidth="1" min="7" max="7"/>
    <col width="15" customWidth="1" min="8" max="8"/>
    <col width="20" customWidth="1" min="9" max="9"/>
    <col width="12" customWidth="1" min="10" max="10"/>
  </cols>
  <sheetData>
    <row r="1">
      <c r="A1" s="1" t="inlineStr">
        <is>
          <t>Pôle</t>
        </is>
      </c>
      <c r="B1" s="1" t="inlineStr">
        <is>
          <t>Responsable pôle</t>
        </is>
      </c>
      <c r="C1" s="1" t="inlineStr">
        <is>
          <t>Filiale / Entité</t>
        </is>
      </c>
      <c r="D1" s="1" t="inlineStr">
        <is>
          <t>Responsable filiale</t>
        </is>
      </c>
      <c r="E1" s="1" t="inlineStr">
        <is>
          <t>Secteur</t>
        </is>
      </c>
      <c r="F1" s="1" t="inlineStr">
        <is>
          <t>Responsable secteur</t>
        </is>
      </c>
      <c r="G1" s="1" t="inlineStr">
        <is>
          <t>Pays</t>
        </is>
      </c>
      <c r="H1" s="1" t="inlineStr">
        <is>
          <t>Localisation</t>
        </is>
      </c>
      <c r="I1" s="1" t="inlineStr">
        <is>
          <t>Type de contrat</t>
        </is>
      </c>
      <c r="J1" s="1" t="inlineStr">
        <is>
          <t>Contact</t>
        </is>
      </c>
    </row>
    <row r="2">
      <c r="A2" t="inlineStr">
        <is>
          <t>BTP</t>
        </is>
      </c>
      <c r="B2" t="inlineStr"/>
      <c r="C2" t="inlineStr">
        <is>
          <t>PORTEO BTP CI</t>
        </is>
      </c>
      <c r="D2" t="inlineStr"/>
      <c r="E2" t="inlineStr">
        <is>
          <t>SECTEUR 1</t>
        </is>
      </c>
      <c r="F2" t="inlineStr"/>
      <c r="G2" t="inlineStr">
        <is>
          <t>Côte d'Ivoire</t>
        </is>
      </c>
      <c r="H2" t="inlineStr">
        <is>
          <t>NORD-EST</t>
        </is>
      </c>
      <c r="I2" t="inlineStr">
        <is>
          <t>Global et forfait</t>
        </is>
      </c>
      <c r="J2" t="inlineStr"/>
    </row>
    <row r="3">
      <c r="A3" t="inlineStr">
        <is>
          <t>BTP</t>
        </is>
      </c>
      <c r="B3" t="inlineStr"/>
      <c r="C3" t="inlineStr">
        <is>
          <t>Porteo BTP Gabon</t>
        </is>
      </c>
      <c r="D3" t="inlineStr"/>
      <c r="E3" t="inlineStr">
        <is>
          <t>SECTEUR 1</t>
        </is>
      </c>
      <c r="F3" t="inlineStr"/>
      <c r="G3" t="inlineStr">
        <is>
          <t>Gabon</t>
        </is>
      </c>
      <c r="H3" t="inlineStr"/>
      <c r="I3" t="inlineStr"/>
      <c r="J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5" customWidth="1" min="5" max="5"/>
    <col width="12" customWidth="1" min="6" max="6"/>
    <col width="22" customWidth="1" min="7" max="7"/>
    <col width="12" customWidth="1" min="8" max="8"/>
    <col width="19" customWidth="1" min="9" max="9"/>
    <col width="19" customWidth="1" min="10" max="10"/>
    <col width="22" customWidth="1" min="11" max="11"/>
    <col width="19" customWidth="1" min="12" max="12"/>
    <col width="21" customWidth="1" min="13" max="13"/>
    <col width="22" customWidth="1" min="14" max="14"/>
    <col width="23" customWidth="1" min="15" max="15"/>
    <col width="31" customWidth="1" min="16" max="16"/>
    <col width="17" customWidth="1" min="17" max="17"/>
    <col width="12" customWidth="1" min="18" max="18"/>
    <col width="18" customWidth="1" min="19" max="19"/>
    <col width="19" customWidth="1" min="20" max="20"/>
    <col width="12" customWidth="1" min="21" max="21"/>
    <col width="23" customWidth="1" min="22" max="22"/>
    <col width="23" customWidth="1" min="23" max="23"/>
    <col width="38" customWidth="1" min="24" max="24"/>
    <col width="23" customWidth="1" min="25" max="25"/>
    <col width="13" customWidth="1" min="26" max="26"/>
    <col width="27" customWidth="1" min="27" max="27"/>
    <col width="16" customWidth="1" min="28" max="28"/>
    <col width="28" customWidth="1" min="29" max="29"/>
    <col width="24" customWidth="1" min="30" max="30"/>
    <col width="19" customWidth="1" min="31" max="31"/>
    <col width="38" customWidth="1" min="32" max="32"/>
    <col width="32" customWidth="1" min="33" max="33"/>
    <col width="31" customWidth="1" min="34" max="34"/>
    <col width="15" customWidth="1" min="35" max="35"/>
  </cols>
  <sheetData>
    <row r="1">
      <c r="A1" s="1" t="inlineStr">
        <is>
          <t>Code projet</t>
        </is>
      </c>
      <c r="B1" s="1" t="inlineStr">
        <is>
          <t>Nom du Projet</t>
        </is>
      </c>
      <c r="C1" s="1" t="inlineStr">
        <is>
          <t>Client / Maître d’ouvrage</t>
        </is>
      </c>
      <c r="D1" s="1" t="inlineStr">
        <is>
          <t>Pays</t>
        </is>
      </c>
      <c r="E1" s="1" t="inlineStr">
        <is>
          <t>Localisation</t>
        </is>
      </c>
      <c r="F1" s="1" t="inlineStr">
        <is>
          <t>Secteur</t>
        </is>
      </c>
      <c r="G1" s="1" t="inlineStr">
        <is>
          <t>Responsable secteur</t>
        </is>
      </c>
      <c r="H1" s="1" t="inlineStr">
        <is>
          <t>Pôle</t>
        </is>
      </c>
      <c r="I1" s="1" t="inlineStr">
        <is>
          <t>Responsable pôle</t>
        </is>
      </c>
      <c r="J1" s="1" t="inlineStr">
        <is>
          <t>Filiale / Entité</t>
        </is>
      </c>
      <c r="K1" s="1" t="inlineStr">
        <is>
          <t>Responsable filiale</t>
        </is>
      </c>
      <c r="L1" s="1" t="inlineStr">
        <is>
          <t>Nom du directeur</t>
        </is>
      </c>
      <c r="M1" s="1" t="inlineStr">
        <is>
          <t>Responsable projet</t>
        </is>
      </c>
      <c r="N1" s="1" t="inlineStr">
        <is>
          <t>Coût marché FCFA HT</t>
        </is>
      </c>
      <c r="O1" s="1" t="inlineStr">
        <is>
          <t>Coût marché FCFA TTC</t>
        </is>
      </c>
      <c r="P1" s="1" t="inlineStr">
        <is>
          <t>Budget prévisionnel FCFA TTC</t>
        </is>
      </c>
      <c r="Q1" s="1" t="inlineStr">
        <is>
          <t>Valeur acquise</t>
        </is>
      </c>
      <c r="R1" s="1" t="inlineStr">
        <is>
          <t>Dépenses</t>
        </is>
      </c>
      <c r="S1" s="1" t="inlineStr">
        <is>
          <t>Montant facturé</t>
        </is>
      </c>
      <c r="T1" s="1" t="inlineStr">
        <is>
          <t>Montant encaissé</t>
        </is>
      </c>
      <c r="U1" s="1" t="inlineStr">
        <is>
          <t>Impayés</t>
        </is>
      </c>
      <c r="V1" s="1" t="inlineStr">
        <is>
          <t>Taux de facturation</t>
        </is>
      </c>
      <c r="W1" s="1" t="inlineStr">
        <is>
          <t>Taux d’encaissement</t>
        </is>
      </c>
      <c r="X1" s="1" t="inlineStr">
        <is>
          <t>SPI</t>
        </is>
      </c>
      <c r="Y1" s="1" t="inlineStr">
        <is>
          <t>CPI</t>
        </is>
      </c>
      <c r="Z1" s="1" t="inlineStr">
        <is>
          <t>% physique</t>
        </is>
      </c>
      <c r="AA1" s="1" t="inlineStr">
        <is>
          <t>Durée des travaux (mois)</t>
        </is>
      </c>
      <c r="AB1" s="1" t="inlineStr">
        <is>
          <t>Date de début</t>
        </is>
      </c>
      <c r="AC1" s="1" t="inlineStr">
        <is>
          <t>Date de fin contractuelle</t>
        </is>
      </c>
      <c r="AD1" s="1" t="inlineStr">
        <is>
          <t>Date de fin prolongée</t>
        </is>
      </c>
      <c r="AE1" s="1" t="inlineStr">
        <is>
          <t>Statut du projet</t>
        </is>
      </c>
      <c r="AF1" s="1" t="inlineStr">
        <is>
          <t>Statut PMO</t>
        </is>
      </c>
      <c r="AG1" s="1" t="inlineStr">
        <is>
          <t>Principaux risques / blocages</t>
        </is>
      </c>
      <c r="AH1" s="1" t="inlineStr">
        <is>
          <t>Décisions attendues de la DG</t>
        </is>
      </c>
      <c r="AI1" s="1" t="inlineStr">
        <is>
          <t>Observations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>
        <f>N2*1.18</f>
        <v/>
      </c>
      <c r="P2" t="inlineStr"/>
      <c r="Q2">
        <f>P2*Z2</f>
        <v/>
      </c>
      <c r="R2" t="inlineStr"/>
      <c r="S2" t="inlineStr"/>
      <c r="T2" t="inlineStr"/>
      <c r="U2">
        <f>S2-T2</f>
        <v/>
      </c>
      <c r="V2">
        <f>IFERROR(S2/O2,"")</f>
        <v/>
      </c>
      <c r="W2">
        <f>IFERROR(T2/S2,"")</f>
        <v/>
      </c>
      <c r="X2">
        <f>IFERROR(Z2/MAX(0.0001,((TODAY()-AB2)/(AC2-AB2))),"")</f>
        <v/>
      </c>
      <c r="Y2">
        <f>IFERROR(Q2/R2,"")</f>
        <v/>
      </c>
      <c r="Z2" t="inlineStr"/>
      <c r="AA2" t="inlineStr"/>
      <c r="AB2" t="inlineStr"/>
      <c r="AC2" t="inlineStr"/>
      <c r="AD2" t="inlineStr"/>
      <c r="AE2" t="inlineStr"/>
      <c r="AF2">
        <f>IF(OR(X2&lt;0.8,Y2&lt;0.8,ISNUMBER(SEARCH("critique",AG2))),"Rouge",IF(OR(AND(X2&gt;=0.8,X2&lt;=0.94),AND(Y2&gt;=0.8,Y2&lt;=0.94)),"Orange",IF(AND(X2&gt;0.95,Y2&gt;0.95),"Vert","Orange")))</f>
        <v/>
      </c>
      <c r="AG2" t="inlineStr"/>
      <c r="AH2" t="inlineStr"/>
      <c r="A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>
        <f>N3*1.18</f>
        <v/>
      </c>
      <c r="P3" t="inlineStr"/>
      <c r="Q3">
        <f>P3*Z3</f>
        <v/>
      </c>
      <c r="R3" t="inlineStr"/>
      <c r="S3" t="inlineStr"/>
      <c r="T3" t="inlineStr"/>
      <c r="U3">
        <f>S3-T3</f>
        <v/>
      </c>
      <c r="V3">
        <f>IFERROR(S3/O3,"")</f>
        <v/>
      </c>
      <c r="W3">
        <f>IFERROR(T3/S3,"")</f>
        <v/>
      </c>
      <c r="X3">
        <f>IFERROR(Z3/MAX(0.0001,((TODAY()-AB3)/(AC3-AB3))),"")</f>
        <v/>
      </c>
      <c r="Y3">
        <f>IFERROR(Q3/R3,"")</f>
        <v/>
      </c>
      <c r="Z3" t="inlineStr"/>
      <c r="AA3" t="inlineStr"/>
      <c r="AB3" t="inlineStr"/>
      <c r="AC3" t="inlineStr"/>
      <c r="AD3" t="inlineStr"/>
      <c r="AE3" t="inlineStr"/>
      <c r="AF3">
        <f>IF(OR(X3&lt;0.8,Y3&lt;0.8,ISNUMBER(SEARCH("critique",AG3))),"Rouge",IF(OR(AND(X3&gt;=0.8,X3&lt;=0.94),AND(Y3&gt;=0.8,Y3&lt;=0.94)),"Orange",IF(AND(X3&gt;0.95,Y3&gt;0.95),"Vert","Orange")))</f>
        <v/>
      </c>
      <c r="AG3" t="inlineStr"/>
      <c r="AH3" t="inlineStr"/>
      <c r="A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>
        <f>N4*1.18</f>
        <v/>
      </c>
      <c r="P4" t="inlineStr"/>
      <c r="Q4">
        <f>P4*Z4</f>
        <v/>
      </c>
      <c r="R4" t="inlineStr"/>
      <c r="S4" t="inlineStr"/>
      <c r="T4" t="inlineStr"/>
      <c r="U4">
        <f>S4-T4</f>
        <v/>
      </c>
      <c r="V4">
        <f>IFERROR(S4/O4,"")</f>
        <v/>
      </c>
      <c r="W4">
        <f>IFERROR(T4/S4,"")</f>
        <v/>
      </c>
      <c r="X4">
        <f>IFERROR(Z4/MAX(0.0001,((TODAY()-AB4)/(AC4-AB4))),"")</f>
        <v/>
      </c>
      <c r="Y4">
        <f>IFERROR(Q4/R4,"")</f>
        <v/>
      </c>
      <c r="Z4" t="inlineStr"/>
      <c r="AA4" t="inlineStr"/>
      <c r="AB4" t="inlineStr"/>
      <c r="AC4" t="inlineStr"/>
      <c r="AD4" t="inlineStr"/>
      <c r="AE4" t="inlineStr"/>
      <c r="AF4">
        <f>IF(OR(X4&lt;0.8,Y4&lt;0.8,ISNUMBER(SEARCH("critique",AG4))),"Rouge",IF(OR(AND(X4&gt;=0.8,X4&lt;=0.94),AND(Y4&gt;=0.8,Y4&lt;=0.94)),"Orange",IF(AND(X4&gt;0.95,Y4&gt;0.95),"Vert","Orange")))</f>
        <v/>
      </c>
      <c r="AG4" t="inlineStr"/>
      <c r="AH4" t="inlineStr"/>
      <c r="A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>
        <f>N5*1.18</f>
        <v/>
      </c>
      <c r="P5" t="inlineStr"/>
      <c r="Q5">
        <f>P5*Z5</f>
        <v/>
      </c>
      <c r="R5" t="inlineStr"/>
      <c r="S5" t="inlineStr"/>
      <c r="T5" t="inlineStr"/>
      <c r="U5">
        <f>S5-T5</f>
        <v/>
      </c>
      <c r="V5">
        <f>IFERROR(S5/O5,"")</f>
        <v/>
      </c>
      <c r="W5">
        <f>IFERROR(T5/S5,"")</f>
        <v/>
      </c>
      <c r="X5">
        <f>IFERROR(Z5/MAX(0.0001,((TODAY()-AB5)/(AC5-AB5))),"")</f>
        <v/>
      </c>
      <c r="Y5">
        <f>IFERROR(Q5/R5,"")</f>
        <v/>
      </c>
      <c r="Z5" t="inlineStr"/>
      <c r="AA5" t="inlineStr"/>
      <c r="AB5" t="inlineStr"/>
      <c r="AC5" t="inlineStr"/>
      <c r="AD5" t="inlineStr"/>
      <c r="AE5" t="inlineStr"/>
      <c r="AF5">
        <f>IF(OR(X5&lt;0.8,Y5&lt;0.8,ISNUMBER(SEARCH("critique",AG5))),"Rouge",IF(OR(AND(X5&gt;=0.8,X5&lt;=0.94),AND(Y5&gt;=0.8,Y5&lt;=0.94)),"Orange",IF(AND(X5&gt;0.95,Y5&gt;0.95),"Vert","Orange")))</f>
        <v/>
      </c>
      <c r="AG5" t="inlineStr"/>
      <c r="AH5" t="inlineStr"/>
      <c r="A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>
        <f>N6*1.18</f>
        <v/>
      </c>
      <c r="P6" t="inlineStr"/>
      <c r="Q6">
        <f>P6*Z6</f>
        <v/>
      </c>
      <c r="R6" t="inlineStr"/>
      <c r="S6" t="inlineStr"/>
      <c r="T6" t="inlineStr"/>
      <c r="U6">
        <f>S6-T6</f>
        <v/>
      </c>
      <c r="V6">
        <f>IFERROR(S6/O6,"")</f>
        <v/>
      </c>
      <c r="W6">
        <f>IFERROR(T6/S6,"")</f>
        <v/>
      </c>
      <c r="X6">
        <f>IFERROR(Z6/MAX(0.0001,((TODAY()-AB6)/(AC6-AB6))),"")</f>
        <v/>
      </c>
      <c r="Y6">
        <f>IFERROR(Q6/R6,"")</f>
        <v/>
      </c>
      <c r="Z6" t="inlineStr"/>
      <c r="AA6" t="inlineStr"/>
      <c r="AB6" t="inlineStr"/>
      <c r="AC6" t="inlineStr"/>
      <c r="AD6" t="inlineStr"/>
      <c r="AE6" t="inlineStr"/>
      <c r="AF6">
        <f>IF(OR(X6&lt;0.8,Y6&lt;0.8,ISNUMBER(SEARCH("critique",AG6))),"Rouge",IF(OR(AND(X6&gt;=0.8,X6&lt;=0.94),AND(Y6&gt;=0.8,Y6&lt;=0.94)),"Orange",IF(AND(X6&gt;0.95,Y6&gt;0.95),"Vert","Orange")))</f>
        <v/>
      </c>
      <c r="AG6" t="inlineStr"/>
      <c r="AH6" t="inlineStr"/>
      <c r="A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>
        <f>N7*1.18</f>
        <v/>
      </c>
      <c r="P7" t="inlineStr"/>
      <c r="Q7">
        <f>P7*Z7</f>
        <v/>
      </c>
      <c r="R7" t="inlineStr"/>
      <c r="S7" t="inlineStr"/>
      <c r="T7" t="inlineStr"/>
      <c r="U7">
        <f>S7-T7</f>
        <v/>
      </c>
      <c r="V7">
        <f>IFERROR(S7/O7,"")</f>
        <v/>
      </c>
      <c r="W7">
        <f>IFERROR(T7/S7,"")</f>
        <v/>
      </c>
      <c r="X7">
        <f>IFERROR(Z7/MAX(0.0001,((TODAY()-AB7)/(AC7-AB7))),"")</f>
        <v/>
      </c>
      <c r="Y7">
        <f>IFERROR(Q7/R7,"")</f>
        <v/>
      </c>
      <c r="Z7" t="inlineStr"/>
      <c r="AA7" t="inlineStr"/>
      <c r="AB7" t="inlineStr"/>
      <c r="AC7" t="inlineStr"/>
      <c r="AD7" t="inlineStr"/>
      <c r="AE7" t="inlineStr"/>
      <c r="AF7">
        <f>IF(OR(X7&lt;0.8,Y7&lt;0.8,ISNUMBER(SEARCH("critique",AG7))),"Rouge",IF(OR(AND(X7&gt;=0.8,X7&lt;=0.94),AND(Y7&gt;=0.8,Y7&lt;=0.94)),"Orange",IF(AND(X7&gt;0.95,Y7&gt;0.95),"Vert","Orange")))</f>
        <v/>
      </c>
      <c r="AG7" t="inlineStr"/>
      <c r="AH7" t="inlineStr"/>
      <c r="A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>
        <f>N8*1.18</f>
        <v/>
      </c>
      <c r="P8" t="inlineStr"/>
      <c r="Q8">
        <f>P8*Z8</f>
        <v/>
      </c>
      <c r="R8" t="inlineStr"/>
      <c r="S8" t="inlineStr"/>
      <c r="T8" t="inlineStr"/>
      <c r="U8">
        <f>S8-T8</f>
        <v/>
      </c>
      <c r="V8">
        <f>IFERROR(S8/O8,"")</f>
        <v/>
      </c>
      <c r="W8">
        <f>IFERROR(T8/S8,"")</f>
        <v/>
      </c>
      <c r="X8">
        <f>IFERROR(Z8/MAX(0.0001,((TODAY()-AB8)/(AC8-AB8))),"")</f>
        <v/>
      </c>
      <c r="Y8">
        <f>IFERROR(Q8/R8,"")</f>
        <v/>
      </c>
      <c r="Z8" t="inlineStr"/>
      <c r="AA8" t="inlineStr"/>
      <c r="AB8" t="inlineStr"/>
      <c r="AC8" t="inlineStr"/>
      <c r="AD8" t="inlineStr"/>
      <c r="AE8" t="inlineStr"/>
      <c r="AF8">
        <f>IF(OR(X8&lt;0.8,Y8&lt;0.8,ISNUMBER(SEARCH("critique",AG8))),"Rouge",IF(OR(AND(X8&gt;=0.8,X8&lt;=0.94),AND(Y8&gt;=0.8,Y8&lt;=0.94)),"Orange",IF(AND(X8&gt;0.95,Y8&gt;0.95),"Vert","Orange")))</f>
        <v/>
      </c>
      <c r="AG8" t="inlineStr"/>
      <c r="AH8" t="inlineStr"/>
      <c r="A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>
        <f>N9*1.18</f>
        <v/>
      </c>
      <c r="P9" t="inlineStr"/>
      <c r="Q9">
        <f>P9*Z9</f>
        <v/>
      </c>
      <c r="R9" t="inlineStr"/>
      <c r="S9" t="inlineStr"/>
      <c r="T9" t="inlineStr"/>
      <c r="U9">
        <f>S9-T9</f>
        <v/>
      </c>
      <c r="V9">
        <f>IFERROR(S9/O9,"")</f>
        <v/>
      </c>
      <c r="W9">
        <f>IFERROR(T9/S9,"")</f>
        <v/>
      </c>
      <c r="X9">
        <f>IFERROR(Z9/MAX(0.0001,((TODAY()-AB9)/(AC9-AB9))),"")</f>
        <v/>
      </c>
      <c r="Y9">
        <f>IFERROR(Q9/R9,"")</f>
        <v/>
      </c>
      <c r="Z9" t="inlineStr"/>
      <c r="AA9" t="inlineStr"/>
      <c r="AB9" t="inlineStr"/>
      <c r="AC9" t="inlineStr"/>
      <c r="AD9" t="inlineStr"/>
      <c r="AE9" t="inlineStr"/>
      <c r="AF9">
        <f>IF(OR(X9&lt;0.8,Y9&lt;0.8,ISNUMBER(SEARCH("critique",AG9))),"Rouge",IF(OR(AND(X9&gt;=0.8,X9&lt;=0.94),AND(Y9&gt;=0.8,Y9&lt;=0.94)),"Orange",IF(AND(X9&gt;0.95,Y9&gt;0.95),"Vert","Orange")))</f>
        <v/>
      </c>
      <c r="AG9" t="inlineStr"/>
      <c r="AH9" t="inlineStr"/>
      <c r="A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>
        <f>N10*1.18</f>
        <v/>
      </c>
      <c r="P10" t="inlineStr"/>
      <c r="Q10">
        <f>P10*Z10</f>
        <v/>
      </c>
      <c r="R10" t="inlineStr"/>
      <c r="S10" t="inlineStr"/>
      <c r="T10" t="inlineStr"/>
      <c r="U10">
        <f>S10-T10</f>
        <v/>
      </c>
      <c r="V10">
        <f>IFERROR(S10/O10,"")</f>
        <v/>
      </c>
      <c r="W10">
        <f>IFERROR(T10/S10,"")</f>
        <v/>
      </c>
      <c r="X10">
        <f>IFERROR(Z10/MAX(0.0001,((TODAY()-AB10)/(AC10-AB10))),"")</f>
        <v/>
      </c>
      <c r="Y10">
        <f>IFERROR(Q10/R10,"")</f>
        <v/>
      </c>
      <c r="Z10" t="inlineStr"/>
      <c r="AA10" t="inlineStr"/>
      <c r="AB10" t="inlineStr"/>
      <c r="AC10" t="inlineStr"/>
      <c r="AD10" t="inlineStr"/>
      <c r="AE10" t="inlineStr"/>
      <c r="AF10">
        <f>IF(OR(X10&lt;0.8,Y10&lt;0.8,ISNUMBER(SEARCH("critique",AG10))),"Rouge",IF(OR(AND(X10&gt;=0.8,X10&lt;=0.94),AND(Y10&gt;=0.8,Y10&lt;=0.94)),"Orange",IF(AND(X10&gt;0.95,Y10&gt;0.95),"Vert","Orange")))</f>
        <v/>
      </c>
      <c r="AG10" t="inlineStr"/>
      <c r="AH10" t="inlineStr"/>
      <c r="A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>
        <f>N11*1.18</f>
        <v/>
      </c>
      <c r="P11" t="inlineStr"/>
      <c r="Q11">
        <f>P11*Z11</f>
        <v/>
      </c>
      <c r="R11" t="inlineStr"/>
      <c r="S11" t="inlineStr"/>
      <c r="T11" t="inlineStr"/>
      <c r="U11">
        <f>S11-T11</f>
        <v/>
      </c>
      <c r="V11">
        <f>IFERROR(S11/O11,"")</f>
        <v/>
      </c>
      <c r="W11">
        <f>IFERROR(T11/S11,"")</f>
        <v/>
      </c>
      <c r="X11">
        <f>IFERROR(Z11/MAX(0.0001,((TODAY()-AB11)/(AC11-AB11))),"")</f>
        <v/>
      </c>
      <c r="Y11">
        <f>IFERROR(Q11/R11,"")</f>
        <v/>
      </c>
      <c r="Z11" t="inlineStr"/>
      <c r="AA11" t="inlineStr"/>
      <c r="AB11" t="inlineStr"/>
      <c r="AC11" t="inlineStr"/>
      <c r="AD11" t="inlineStr"/>
      <c r="AE11" t="inlineStr"/>
      <c r="AF11">
        <f>IF(OR(X11&lt;0.8,Y11&lt;0.8,ISNUMBER(SEARCH("critique",AG11))),"Rouge",IF(OR(AND(X11&gt;=0.8,X11&lt;=0.94),AND(Y11&gt;=0.8,Y11&lt;=0.94)),"Orange",IF(AND(X11&gt;0.95,Y11&gt;0.95),"Vert","Orange")))</f>
        <v/>
      </c>
      <c r="AG11" t="inlineStr"/>
      <c r="AH11" t="inlineStr"/>
      <c r="A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>
        <f>N12*1.18</f>
        <v/>
      </c>
      <c r="P12" t="inlineStr"/>
      <c r="Q12">
        <f>P12*Z12</f>
        <v/>
      </c>
      <c r="R12" t="inlineStr"/>
      <c r="S12" t="inlineStr"/>
      <c r="T12" t="inlineStr"/>
      <c r="U12">
        <f>S12-T12</f>
        <v/>
      </c>
      <c r="V12">
        <f>IFERROR(S12/O12,"")</f>
        <v/>
      </c>
      <c r="W12">
        <f>IFERROR(T12/S12,"")</f>
        <v/>
      </c>
      <c r="X12">
        <f>IFERROR(Z12/MAX(0.0001,((TODAY()-AB12)/(AC12-AB12))),"")</f>
        <v/>
      </c>
      <c r="Y12">
        <f>IFERROR(Q12/R12,"")</f>
        <v/>
      </c>
      <c r="Z12" t="inlineStr"/>
      <c r="AA12" t="inlineStr"/>
      <c r="AB12" t="inlineStr"/>
      <c r="AC12" t="inlineStr"/>
      <c r="AD12" t="inlineStr"/>
      <c r="AE12" t="inlineStr"/>
      <c r="AF12">
        <f>IF(OR(X12&lt;0.8,Y12&lt;0.8,ISNUMBER(SEARCH("critique",AG12))),"Rouge",IF(OR(AND(X12&gt;=0.8,X12&lt;=0.94),AND(Y12&gt;=0.8,Y12&lt;=0.94)),"Orange",IF(AND(X12&gt;0.95,Y12&gt;0.95),"Vert","Orange")))</f>
        <v/>
      </c>
      <c r="AG12" t="inlineStr"/>
      <c r="AH12" t="inlineStr"/>
      <c r="A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>
        <f>N13*1.18</f>
        <v/>
      </c>
      <c r="P13" t="inlineStr"/>
      <c r="Q13">
        <f>P13*Z13</f>
        <v/>
      </c>
      <c r="R13" t="inlineStr"/>
      <c r="S13" t="inlineStr"/>
      <c r="T13" t="inlineStr"/>
      <c r="U13">
        <f>S13-T13</f>
        <v/>
      </c>
      <c r="V13">
        <f>IFERROR(S13/O13,"")</f>
        <v/>
      </c>
      <c r="W13">
        <f>IFERROR(T13/S13,"")</f>
        <v/>
      </c>
      <c r="X13">
        <f>IFERROR(Z13/MAX(0.0001,((TODAY()-AB13)/(AC13-AB13))),"")</f>
        <v/>
      </c>
      <c r="Y13">
        <f>IFERROR(Q13/R13,"")</f>
        <v/>
      </c>
      <c r="Z13" t="inlineStr"/>
      <c r="AA13" t="inlineStr"/>
      <c r="AB13" t="inlineStr"/>
      <c r="AC13" t="inlineStr"/>
      <c r="AD13" t="inlineStr"/>
      <c r="AE13" t="inlineStr"/>
      <c r="AF13">
        <f>IF(OR(X13&lt;0.8,Y13&lt;0.8,ISNUMBER(SEARCH("critique",AG13))),"Rouge",IF(OR(AND(X13&gt;=0.8,X13&lt;=0.94),AND(Y13&gt;=0.8,Y13&lt;=0.94)),"Orange",IF(AND(X13&gt;0.95,Y13&gt;0.95),"Vert","Orange")))</f>
        <v/>
      </c>
      <c r="AG13" t="inlineStr"/>
      <c r="AH13" t="inlineStr"/>
      <c r="A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>
        <f>N14*1.18</f>
        <v/>
      </c>
      <c r="P14" t="inlineStr"/>
      <c r="Q14">
        <f>P14*Z14</f>
        <v/>
      </c>
      <c r="R14" t="inlineStr"/>
      <c r="S14" t="inlineStr"/>
      <c r="T14" t="inlineStr"/>
      <c r="U14">
        <f>S14-T14</f>
        <v/>
      </c>
      <c r="V14">
        <f>IFERROR(S14/O14,"")</f>
        <v/>
      </c>
      <c r="W14">
        <f>IFERROR(T14/S14,"")</f>
        <v/>
      </c>
      <c r="X14">
        <f>IFERROR(Z14/MAX(0.0001,((TODAY()-AB14)/(AC14-AB14))),"")</f>
        <v/>
      </c>
      <c r="Y14">
        <f>IFERROR(Q14/R14,"")</f>
        <v/>
      </c>
      <c r="Z14" t="inlineStr"/>
      <c r="AA14" t="inlineStr"/>
      <c r="AB14" t="inlineStr"/>
      <c r="AC14" t="inlineStr"/>
      <c r="AD14" t="inlineStr"/>
      <c r="AE14" t="inlineStr"/>
      <c r="AF14">
        <f>IF(OR(X14&lt;0.8,Y14&lt;0.8,ISNUMBER(SEARCH("critique",AG14))),"Rouge",IF(OR(AND(X14&gt;=0.8,X14&lt;=0.94),AND(Y14&gt;=0.8,Y14&lt;=0.94)),"Orange",IF(AND(X14&gt;0.95,Y14&gt;0.95),"Vert","Orange")))</f>
        <v/>
      </c>
      <c r="AG14" t="inlineStr"/>
      <c r="AH14" t="inlineStr"/>
      <c r="A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>
        <f>N15*1.18</f>
        <v/>
      </c>
      <c r="P15" t="inlineStr"/>
      <c r="Q15">
        <f>P15*Z15</f>
        <v/>
      </c>
      <c r="R15" t="inlineStr"/>
      <c r="S15" t="inlineStr"/>
      <c r="T15" t="inlineStr"/>
      <c r="U15">
        <f>S15-T15</f>
        <v/>
      </c>
      <c r="V15">
        <f>IFERROR(S15/O15,"")</f>
        <v/>
      </c>
      <c r="W15">
        <f>IFERROR(T15/S15,"")</f>
        <v/>
      </c>
      <c r="X15">
        <f>IFERROR(Z15/MAX(0.0001,((TODAY()-AB15)/(AC15-AB15))),"")</f>
        <v/>
      </c>
      <c r="Y15">
        <f>IFERROR(Q15/R15,"")</f>
        <v/>
      </c>
      <c r="Z15" t="inlineStr"/>
      <c r="AA15" t="inlineStr"/>
      <c r="AB15" t="inlineStr"/>
      <c r="AC15" t="inlineStr"/>
      <c r="AD15" t="inlineStr"/>
      <c r="AE15" t="inlineStr"/>
      <c r="AF15">
        <f>IF(OR(X15&lt;0.8,Y15&lt;0.8,ISNUMBER(SEARCH("critique",AG15))),"Rouge",IF(OR(AND(X15&gt;=0.8,X15&lt;=0.94),AND(Y15&gt;=0.8,Y15&lt;=0.94)),"Orange",IF(AND(X15&gt;0.95,Y15&gt;0.95),"Vert","Orange")))</f>
        <v/>
      </c>
      <c r="AG15" t="inlineStr"/>
      <c r="AH15" t="inlineStr"/>
      <c r="A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>
        <f>N16*1.18</f>
        <v/>
      </c>
      <c r="P16" t="inlineStr"/>
      <c r="Q16">
        <f>P16*Z16</f>
        <v/>
      </c>
      <c r="R16" t="inlineStr"/>
      <c r="S16" t="inlineStr"/>
      <c r="T16" t="inlineStr"/>
      <c r="U16">
        <f>S16-T16</f>
        <v/>
      </c>
      <c r="V16">
        <f>IFERROR(S16/O16,"")</f>
        <v/>
      </c>
      <c r="W16">
        <f>IFERROR(T16/S16,"")</f>
        <v/>
      </c>
      <c r="X16">
        <f>IFERROR(Z16/MAX(0.0001,((TODAY()-AB16)/(AC16-AB16))),"")</f>
        <v/>
      </c>
      <c r="Y16">
        <f>IFERROR(Q16/R16,"")</f>
        <v/>
      </c>
      <c r="Z16" t="inlineStr"/>
      <c r="AA16" t="inlineStr"/>
      <c r="AB16" t="inlineStr"/>
      <c r="AC16" t="inlineStr"/>
      <c r="AD16" t="inlineStr"/>
      <c r="AE16" t="inlineStr"/>
      <c r="AF16">
        <f>IF(OR(X16&lt;0.8,Y16&lt;0.8,ISNUMBER(SEARCH("critique",AG16))),"Rouge",IF(OR(AND(X16&gt;=0.8,X16&lt;=0.94),AND(Y16&gt;=0.8,Y16&lt;=0.94)),"Orange",IF(AND(X16&gt;0.95,Y16&gt;0.95),"Vert","Orange")))</f>
        <v/>
      </c>
      <c r="AG16" t="inlineStr"/>
      <c r="AH16" t="inlineStr"/>
      <c r="A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>
        <f>N17*1.18</f>
        <v/>
      </c>
      <c r="P17" t="inlineStr"/>
      <c r="Q17">
        <f>P17*Z17</f>
        <v/>
      </c>
      <c r="R17" t="inlineStr"/>
      <c r="S17" t="inlineStr"/>
      <c r="T17" t="inlineStr"/>
      <c r="U17">
        <f>S17-T17</f>
        <v/>
      </c>
      <c r="V17">
        <f>IFERROR(S17/O17,"")</f>
        <v/>
      </c>
      <c r="W17">
        <f>IFERROR(T17/S17,"")</f>
        <v/>
      </c>
      <c r="X17">
        <f>IFERROR(Z17/MAX(0.0001,((TODAY()-AB17)/(AC17-AB17))),"")</f>
        <v/>
      </c>
      <c r="Y17">
        <f>IFERROR(Q17/R17,"")</f>
        <v/>
      </c>
      <c r="Z17" t="inlineStr"/>
      <c r="AA17" t="inlineStr"/>
      <c r="AB17" t="inlineStr"/>
      <c r="AC17" t="inlineStr"/>
      <c r="AD17" t="inlineStr"/>
      <c r="AE17" t="inlineStr"/>
      <c r="AF17">
        <f>IF(OR(X17&lt;0.8,Y17&lt;0.8,ISNUMBER(SEARCH("critique",AG17))),"Rouge",IF(OR(AND(X17&gt;=0.8,X17&lt;=0.94),AND(Y17&gt;=0.8,Y17&lt;=0.94)),"Orange",IF(AND(X17&gt;0.95,Y17&gt;0.95),"Vert","Orange")))</f>
        <v/>
      </c>
      <c r="AG17" t="inlineStr"/>
      <c r="AH17" t="inlineStr"/>
      <c r="A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>
        <f>N18*1.18</f>
        <v/>
      </c>
      <c r="P18" t="inlineStr"/>
      <c r="Q18">
        <f>P18*Z18</f>
        <v/>
      </c>
      <c r="R18" t="inlineStr"/>
      <c r="S18" t="inlineStr"/>
      <c r="T18" t="inlineStr"/>
      <c r="U18">
        <f>S18-T18</f>
        <v/>
      </c>
      <c r="V18">
        <f>IFERROR(S18/O18,"")</f>
        <v/>
      </c>
      <c r="W18">
        <f>IFERROR(T18/S18,"")</f>
        <v/>
      </c>
      <c r="X18">
        <f>IFERROR(Z18/MAX(0.0001,((TODAY()-AB18)/(AC18-AB18))),"")</f>
        <v/>
      </c>
      <c r="Y18">
        <f>IFERROR(Q18/R18,"")</f>
        <v/>
      </c>
      <c r="Z18" t="inlineStr"/>
      <c r="AA18" t="inlineStr"/>
      <c r="AB18" t="inlineStr"/>
      <c r="AC18" t="inlineStr"/>
      <c r="AD18" t="inlineStr"/>
      <c r="AE18" t="inlineStr"/>
      <c r="AF18">
        <f>IF(OR(X18&lt;0.8,Y18&lt;0.8,ISNUMBER(SEARCH("critique",AG18))),"Rouge",IF(OR(AND(X18&gt;=0.8,X18&lt;=0.94),AND(Y18&gt;=0.8,Y18&lt;=0.94)),"Orange",IF(AND(X18&gt;0.95,Y18&gt;0.95),"Vert","Orange")))</f>
        <v/>
      </c>
      <c r="AG18" t="inlineStr"/>
      <c r="AH18" t="inlineStr"/>
      <c r="A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>
        <f>N19*1.18</f>
        <v/>
      </c>
      <c r="P19" t="inlineStr"/>
      <c r="Q19">
        <f>P19*Z19</f>
        <v/>
      </c>
      <c r="R19" t="inlineStr"/>
      <c r="S19" t="inlineStr"/>
      <c r="T19" t="inlineStr"/>
      <c r="U19">
        <f>S19-T19</f>
        <v/>
      </c>
      <c r="V19">
        <f>IFERROR(S19/O19,"")</f>
        <v/>
      </c>
      <c r="W19">
        <f>IFERROR(T19/S19,"")</f>
        <v/>
      </c>
      <c r="X19">
        <f>IFERROR(Z19/MAX(0.0001,((TODAY()-AB19)/(AC19-AB19))),"")</f>
        <v/>
      </c>
      <c r="Y19">
        <f>IFERROR(Q19/R19,"")</f>
        <v/>
      </c>
      <c r="Z19" t="inlineStr"/>
      <c r="AA19" t="inlineStr"/>
      <c r="AB19" t="inlineStr"/>
      <c r="AC19" t="inlineStr"/>
      <c r="AD19" t="inlineStr"/>
      <c r="AE19" t="inlineStr"/>
      <c r="AF19">
        <f>IF(OR(X19&lt;0.8,Y19&lt;0.8,ISNUMBER(SEARCH("critique",AG19))),"Rouge",IF(OR(AND(X19&gt;=0.8,X19&lt;=0.94),AND(Y19&gt;=0.8,Y19&lt;=0.94)),"Orange",IF(AND(X19&gt;0.95,Y19&gt;0.95),"Vert","Orange")))</f>
        <v/>
      </c>
      <c r="AG19" t="inlineStr"/>
      <c r="AH19" t="inlineStr"/>
      <c r="A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>
        <f>N20*1.18</f>
        <v/>
      </c>
      <c r="P20" t="inlineStr"/>
      <c r="Q20">
        <f>P20*Z20</f>
        <v/>
      </c>
      <c r="R20" t="inlineStr"/>
      <c r="S20" t="inlineStr"/>
      <c r="T20" t="inlineStr"/>
      <c r="U20">
        <f>S20-T20</f>
        <v/>
      </c>
      <c r="V20">
        <f>IFERROR(S20/O20,"")</f>
        <v/>
      </c>
      <c r="W20">
        <f>IFERROR(T20/S20,"")</f>
        <v/>
      </c>
      <c r="X20">
        <f>IFERROR(Z20/MAX(0.0001,((TODAY()-AB20)/(AC20-AB20))),"")</f>
        <v/>
      </c>
      <c r="Y20">
        <f>IFERROR(Q20/R20,"")</f>
        <v/>
      </c>
      <c r="Z20" t="inlineStr"/>
      <c r="AA20" t="inlineStr"/>
      <c r="AB20" t="inlineStr"/>
      <c r="AC20" t="inlineStr"/>
      <c r="AD20" t="inlineStr"/>
      <c r="AE20" t="inlineStr"/>
      <c r="AF20">
        <f>IF(OR(X20&lt;0.8,Y20&lt;0.8,ISNUMBER(SEARCH("critique",AG20))),"Rouge",IF(OR(AND(X20&gt;=0.8,X20&lt;=0.94),AND(Y20&gt;=0.8,Y20&lt;=0.94)),"Orange",IF(AND(X20&gt;0.95,Y20&gt;0.95),"Vert","Orange")))</f>
        <v/>
      </c>
      <c r="AG20" t="inlineStr"/>
      <c r="AH20" t="inlineStr"/>
      <c r="A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>
        <f>N21*1.18</f>
        <v/>
      </c>
      <c r="P21" t="inlineStr"/>
      <c r="Q21">
        <f>P21*Z21</f>
        <v/>
      </c>
      <c r="R21" t="inlineStr"/>
      <c r="S21" t="inlineStr"/>
      <c r="T21" t="inlineStr"/>
      <c r="U21">
        <f>S21-T21</f>
        <v/>
      </c>
      <c r="V21">
        <f>IFERROR(S21/O21,"")</f>
        <v/>
      </c>
      <c r="W21">
        <f>IFERROR(T21/S21,"")</f>
        <v/>
      </c>
      <c r="X21">
        <f>IFERROR(Z21/MAX(0.0001,((TODAY()-AB21)/(AC21-AB21))),"")</f>
        <v/>
      </c>
      <c r="Y21">
        <f>IFERROR(Q21/R21,"")</f>
        <v/>
      </c>
      <c r="Z21" t="inlineStr"/>
      <c r="AA21" t="inlineStr"/>
      <c r="AB21" t="inlineStr"/>
      <c r="AC21" t="inlineStr"/>
      <c r="AD21" t="inlineStr"/>
      <c r="AE21" t="inlineStr"/>
      <c r="AF21">
        <f>IF(OR(X21&lt;0.8,Y21&lt;0.8,ISNUMBER(SEARCH("critique",AG21))),"Rouge",IF(OR(AND(X21&gt;=0.8,X21&lt;=0.94),AND(Y21&gt;=0.8,Y21&lt;=0.94)),"Orange",IF(AND(X21&gt;0.95,Y21&gt;0.95),"Vert","Orange")))</f>
        <v/>
      </c>
      <c r="AG21" t="inlineStr"/>
      <c r="AH21" t="inlineStr"/>
      <c r="A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>
        <f>N22*1.18</f>
        <v/>
      </c>
      <c r="P22" t="inlineStr"/>
      <c r="Q22">
        <f>P22*Z22</f>
        <v/>
      </c>
      <c r="R22" t="inlineStr"/>
      <c r="S22" t="inlineStr"/>
      <c r="T22" t="inlineStr"/>
      <c r="U22">
        <f>S22-T22</f>
        <v/>
      </c>
      <c r="V22">
        <f>IFERROR(S22/O22,"")</f>
        <v/>
      </c>
      <c r="W22">
        <f>IFERROR(T22/S22,"")</f>
        <v/>
      </c>
      <c r="X22">
        <f>IFERROR(Z22/MAX(0.0001,((TODAY()-AB22)/(AC22-AB22))),"")</f>
        <v/>
      </c>
      <c r="Y22">
        <f>IFERROR(Q22/R22,"")</f>
        <v/>
      </c>
      <c r="Z22" t="inlineStr"/>
      <c r="AA22" t="inlineStr"/>
      <c r="AB22" t="inlineStr"/>
      <c r="AC22" t="inlineStr"/>
      <c r="AD22" t="inlineStr"/>
      <c r="AE22" t="inlineStr"/>
      <c r="AF22">
        <f>IF(OR(X22&lt;0.8,Y22&lt;0.8,ISNUMBER(SEARCH("critique",AG22))),"Rouge",IF(OR(AND(X22&gt;=0.8,X22&lt;=0.94),AND(Y22&gt;=0.8,Y22&lt;=0.94)),"Orange",IF(AND(X22&gt;0.95,Y22&gt;0.95),"Vert","Orange")))</f>
        <v/>
      </c>
      <c r="AG22" t="inlineStr"/>
      <c r="AH22" t="inlineStr"/>
      <c r="A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>
        <f>N23*1.18</f>
        <v/>
      </c>
      <c r="P23" t="inlineStr"/>
      <c r="Q23">
        <f>P23*Z23</f>
        <v/>
      </c>
      <c r="R23" t="inlineStr"/>
      <c r="S23" t="inlineStr"/>
      <c r="T23" t="inlineStr"/>
      <c r="U23">
        <f>S23-T23</f>
        <v/>
      </c>
      <c r="V23">
        <f>IFERROR(S23/O23,"")</f>
        <v/>
      </c>
      <c r="W23">
        <f>IFERROR(T23/S23,"")</f>
        <v/>
      </c>
      <c r="X23">
        <f>IFERROR(Z23/MAX(0.0001,((TODAY()-AB23)/(AC23-AB23))),"")</f>
        <v/>
      </c>
      <c r="Y23">
        <f>IFERROR(Q23/R23,"")</f>
        <v/>
      </c>
      <c r="Z23" t="inlineStr"/>
      <c r="AA23" t="inlineStr"/>
      <c r="AB23" t="inlineStr"/>
      <c r="AC23" t="inlineStr"/>
      <c r="AD23" t="inlineStr"/>
      <c r="AE23" t="inlineStr"/>
      <c r="AF23">
        <f>IF(OR(X23&lt;0.8,Y23&lt;0.8,ISNUMBER(SEARCH("critique",AG23))),"Rouge",IF(OR(AND(X23&gt;=0.8,X23&lt;=0.94),AND(Y23&gt;=0.8,Y23&lt;=0.94)),"Orange",IF(AND(X23&gt;0.95,Y23&gt;0.95),"Vert","Orange")))</f>
        <v/>
      </c>
      <c r="AG23" t="inlineStr"/>
      <c r="AH23" t="inlineStr"/>
      <c r="A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>
        <f>N24*1.18</f>
        <v/>
      </c>
      <c r="P24" t="inlineStr"/>
      <c r="Q24">
        <f>P24*Z24</f>
        <v/>
      </c>
      <c r="R24" t="inlineStr"/>
      <c r="S24" t="inlineStr"/>
      <c r="T24" t="inlineStr"/>
      <c r="U24">
        <f>S24-T24</f>
        <v/>
      </c>
      <c r="V24">
        <f>IFERROR(S24/O24,"")</f>
        <v/>
      </c>
      <c r="W24">
        <f>IFERROR(T24/S24,"")</f>
        <v/>
      </c>
      <c r="X24">
        <f>IFERROR(Z24/MAX(0.0001,((TODAY()-AB24)/(AC24-AB24))),"")</f>
        <v/>
      </c>
      <c r="Y24">
        <f>IFERROR(Q24/R24,"")</f>
        <v/>
      </c>
      <c r="Z24" t="inlineStr"/>
      <c r="AA24" t="inlineStr"/>
      <c r="AB24" t="inlineStr"/>
      <c r="AC24" t="inlineStr"/>
      <c r="AD24" t="inlineStr"/>
      <c r="AE24" t="inlineStr"/>
      <c r="AF24">
        <f>IF(OR(X24&lt;0.8,Y24&lt;0.8,ISNUMBER(SEARCH("critique",AG24))),"Rouge",IF(OR(AND(X24&gt;=0.8,X24&lt;=0.94),AND(Y24&gt;=0.8,Y24&lt;=0.94)),"Orange",IF(AND(X24&gt;0.95,Y24&gt;0.95),"Vert","Orange")))</f>
        <v/>
      </c>
      <c r="AG24" t="inlineStr"/>
      <c r="AH24" t="inlineStr"/>
      <c r="A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>
        <f>N25*1.18</f>
        <v/>
      </c>
      <c r="P25" t="inlineStr"/>
      <c r="Q25">
        <f>P25*Z25</f>
        <v/>
      </c>
      <c r="R25" t="inlineStr"/>
      <c r="S25" t="inlineStr"/>
      <c r="T25" t="inlineStr"/>
      <c r="U25">
        <f>S25-T25</f>
        <v/>
      </c>
      <c r="V25">
        <f>IFERROR(S25/O25,"")</f>
        <v/>
      </c>
      <c r="W25">
        <f>IFERROR(T25/S25,"")</f>
        <v/>
      </c>
      <c r="X25">
        <f>IFERROR(Z25/MAX(0.0001,((TODAY()-AB25)/(AC25-AB25))),"")</f>
        <v/>
      </c>
      <c r="Y25">
        <f>IFERROR(Q25/R25,"")</f>
        <v/>
      </c>
      <c r="Z25" t="inlineStr"/>
      <c r="AA25" t="inlineStr"/>
      <c r="AB25" t="inlineStr"/>
      <c r="AC25" t="inlineStr"/>
      <c r="AD25" t="inlineStr"/>
      <c r="AE25" t="inlineStr"/>
      <c r="AF25">
        <f>IF(OR(X25&lt;0.8,Y25&lt;0.8,ISNUMBER(SEARCH("critique",AG25))),"Rouge",IF(OR(AND(X25&gt;=0.8,X25&lt;=0.94),AND(Y25&gt;=0.8,Y25&lt;=0.94)),"Orange",IF(AND(X25&gt;0.95,Y25&gt;0.95),"Vert","Orange")))</f>
        <v/>
      </c>
      <c r="AG25" t="inlineStr"/>
      <c r="AH25" t="inlineStr"/>
      <c r="A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>
        <f>N26*1.18</f>
        <v/>
      </c>
      <c r="P26" t="inlineStr"/>
      <c r="Q26">
        <f>P26*Z26</f>
        <v/>
      </c>
      <c r="R26" t="inlineStr"/>
      <c r="S26" t="inlineStr"/>
      <c r="T26" t="inlineStr"/>
      <c r="U26">
        <f>S26-T26</f>
        <v/>
      </c>
      <c r="V26">
        <f>IFERROR(S26/O26,"")</f>
        <v/>
      </c>
      <c r="W26">
        <f>IFERROR(T26/S26,"")</f>
        <v/>
      </c>
      <c r="X26">
        <f>IFERROR(Z26/MAX(0.0001,((TODAY()-AB26)/(AC26-AB26))),"")</f>
        <v/>
      </c>
      <c r="Y26">
        <f>IFERROR(Q26/R26,"")</f>
        <v/>
      </c>
      <c r="Z26" t="inlineStr"/>
      <c r="AA26" t="inlineStr"/>
      <c r="AB26" t="inlineStr"/>
      <c r="AC26" t="inlineStr"/>
      <c r="AD26" t="inlineStr"/>
      <c r="AE26" t="inlineStr"/>
      <c r="AF26">
        <f>IF(OR(X26&lt;0.8,Y26&lt;0.8,ISNUMBER(SEARCH("critique",AG26))),"Rouge",IF(OR(AND(X26&gt;=0.8,X26&lt;=0.94),AND(Y26&gt;=0.8,Y26&lt;=0.94)),"Orange",IF(AND(X26&gt;0.95,Y26&gt;0.95),"Vert","Orange")))</f>
        <v/>
      </c>
      <c r="AG26" t="inlineStr"/>
      <c r="AH26" t="inlineStr"/>
      <c r="A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>
        <f>N27*1.18</f>
        <v/>
      </c>
      <c r="P27" t="inlineStr"/>
      <c r="Q27">
        <f>P27*Z27</f>
        <v/>
      </c>
      <c r="R27" t="inlineStr"/>
      <c r="S27" t="inlineStr"/>
      <c r="T27" t="inlineStr"/>
      <c r="U27">
        <f>S27-T27</f>
        <v/>
      </c>
      <c r="V27">
        <f>IFERROR(S27/O27,"")</f>
        <v/>
      </c>
      <c r="W27">
        <f>IFERROR(T27/S27,"")</f>
        <v/>
      </c>
      <c r="X27">
        <f>IFERROR(Z27/MAX(0.0001,((TODAY()-AB27)/(AC27-AB27))),"")</f>
        <v/>
      </c>
      <c r="Y27">
        <f>IFERROR(Q27/R27,"")</f>
        <v/>
      </c>
      <c r="Z27" t="inlineStr"/>
      <c r="AA27" t="inlineStr"/>
      <c r="AB27" t="inlineStr"/>
      <c r="AC27" t="inlineStr"/>
      <c r="AD27" t="inlineStr"/>
      <c r="AE27" t="inlineStr"/>
      <c r="AF27">
        <f>IF(OR(X27&lt;0.8,Y27&lt;0.8,ISNUMBER(SEARCH("critique",AG27))),"Rouge",IF(OR(AND(X27&gt;=0.8,X27&lt;=0.94),AND(Y27&gt;=0.8,Y27&lt;=0.94)),"Orange",IF(AND(X27&gt;0.95,Y27&gt;0.95),"Vert","Orange")))</f>
        <v/>
      </c>
      <c r="AG27" t="inlineStr"/>
      <c r="AH27" t="inlineStr"/>
      <c r="A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>
        <f>N28*1.18</f>
        <v/>
      </c>
      <c r="P28" t="inlineStr"/>
      <c r="Q28">
        <f>P28*Z28</f>
        <v/>
      </c>
      <c r="R28" t="inlineStr"/>
      <c r="S28" t="inlineStr"/>
      <c r="T28" t="inlineStr"/>
      <c r="U28">
        <f>S28-T28</f>
        <v/>
      </c>
      <c r="V28">
        <f>IFERROR(S28/O28,"")</f>
        <v/>
      </c>
      <c r="W28">
        <f>IFERROR(T28/S28,"")</f>
        <v/>
      </c>
      <c r="X28">
        <f>IFERROR(Z28/MAX(0.0001,((TODAY()-AB28)/(AC28-AB28))),"")</f>
        <v/>
      </c>
      <c r="Y28">
        <f>IFERROR(Q28/R28,"")</f>
        <v/>
      </c>
      <c r="Z28" t="inlineStr"/>
      <c r="AA28" t="inlineStr"/>
      <c r="AB28" t="inlineStr"/>
      <c r="AC28" t="inlineStr"/>
      <c r="AD28" t="inlineStr"/>
      <c r="AE28" t="inlineStr"/>
      <c r="AF28">
        <f>IF(OR(X28&lt;0.8,Y28&lt;0.8,ISNUMBER(SEARCH("critique",AG28))),"Rouge",IF(OR(AND(X28&gt;=0.8,X28&lt;=0.94),AND(Y28&gt;=0.8,Y28&lt;=0.94)),"Orange",IF(AND(X28&gt;0.95,Y28&gt;0.95),"Vert","Orange")))</f>
        <v/>
      </c>
      <c r="AG28" t="inlineStr"/>
      <c r="AH28" t="inlineStr"/>
      <c r="A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>
        <f>N29*1.18</f>
        <v/>
      </c>
      <c r="P29" t="inlineStr"/>
      <c r="Q29">
        <f>P29*Z29</f>
        <v/>
      </c>
      <c r="R29" t="inlineStr"/>
      <c r="S29" t="inlineStr"/>
      <c r="T29" t="inlineStr"/>
      <c r="U29">
        <f>S29-T29</f>
        <v/>
      </c>
      <c r="V29">
        <f>IFERROR(S29/O29,"")</f>
        <v/>
      </c>
      <c r="W29">
        <f>IFERROR(T29/S29,"")</f>
        <v/>
      </c>
      <c r="X29">
        <f>IFERROR(Z29/MAX(0.0001,((TODAY()-AB29)/(AC29-AB29))),"")</f>
        <v/>
      </c>
      <c r="Y29">
        <f>IFERROR(Q29/R29,"")</f>
        <v/>
      </c>
      <c r="Z29" t="inlineStr"/>
      <c r="AA29" t="inlineStr"/>
      <c r="AB29" t="inlineStr"/>
      <c r="AC29" t="inlineStr"/>
      <c r="AD29" t="inlineStr"/>
      <c r="AE29" t="inlineStr"/>
      <c r="AF29">
        <f>IF(OR(X29&lt;0.8,Y29&lt;0.8,ISNUMBER(SEARCH("critique",AG29))),"Rouge",IF(OR(AND(X29&gt;=0.8,X29&lt;=0.94),AND(Y29&gt;=0.8,Y29&lt;=0.94)),"Orange",IF(AND(X29&gt;0.95,Y29&gt;0.95),"Vert","Orange")))</f>
        <v/>
      </c>
      <c r="AG29" t="inlineStr"/>
      <c r="AH29" t="inlineStr"/>
      <c r="A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>
        <f>N30*1.18</f>
        <v/>
      </c>
      <c r="P30" t="inlineStr"/>
      <c r="Q30">
        <f>P30*Z30</f>
        <v/>
      </c>
      <c r="R30" t="inlineStr"/>
      <c r="S30" t="inlineStr"/>
      <c r="T30" t="inlineStr"/>
      <c r="U30">
        <f>S30-T30</f>
        <v/>
      </c>
      <c r="V30">
        <f>IFERROR(S30/O30,"")</f>
        <v/>
      </c>
      <c r="W30">
        <f>IFERROR(T30/S30,"")</f>
        <v/>
      </c>
      <c r="X30">
        <f>IFERROR(Z30/MAX(0.0001,((TODAY()-AB30)/(AC30-AB30))),"")</f>
        <v/>
      </c>
      <c r="Y30">
        <f>IFERROR(Q30/R30,"")</f>
        <v/>
      </c>
      <c r="Z30" t="inlineStr"/>
      <c r="AA30" t="inlineStr"/>
      <c r="AB30" t="inlineStr"/>
      <c r="AC30" t="inlineStr"/>
      <c r="AD30" t="inlineStr"/>
      <c r="AE30" t="inlineStr"/>
      <c r="AF30">
        <f>IF(OR(X30&lt;0.8,Y30&lt;0.8,ISNUMBER(SEARCH("critique",AG30))),"Rouge",IF(OR(AND(X30&gt;=0.8,X30&lt;=0.94),AND(Y30&gt;=0.8,Y30&lt;=0.94)),"Orange",IF(AND(X30&gt;0.95,Y30&gt;0.95),"Vert","Orange")))</f>
        <v/>
      </c>
      <c r="AG30" t="inlineStr"/>
      <c r="AH30" t="inlineStr"/>
      <c r="A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>
        <f>N31*1.18</f>
        <v/>
      </c>
      <c r="P31" t="inlineStr"/>
      <c r="Q31">
        <f>P31*Z31</f>
        <v/>
      </c>
      <c r="R31" t="inlineStr"/>
      <c r="S31" t="inlineStr"/>
      <c r="T31" t="inlineStr"/>
      <c r="U31">
        <f>S31-T31</f>
        <v/>
      </c>
      <c r="V31">
        <f>IFERROR(S31/O31,"")</f>
        <v/>
      </c>
      <c r="W31">
        <f>IFERROR(T31/S31,"")</f>
        <v/>
      </c>
      <c r="X31">
        <f>IFERROR(Z31/MAX(0.0001,((TODAY()-AB31)/(AC31-AB31))),"")</f>
        <v/>
      </c>
      <c r="Y31">
        <f>IFERROR(Q31/R31,"")</f>
        <v/>
      </c>
      <c r="Z31" t="inlineStr"/>
      <c r="AA31" t="inlineStr"/>
      <c r="AB31" t="inlineStr"/>
      <c r="AC31" t="inlineStr"/>
      <c r="AD31" t="inlineStr"/>
      <c r="AE31" t="inlineStr"/>
      <c r="AF31">
        <f>IF(OR(X31&lt;0.8,Y31&lt;0.8,ISNUMBER(SEARCH("critique",AG31))),"Rouge",IF(OR(AND(X31&gt;=0.8,X31&lt;=0.94),AND(Y31&gt;=0.8,Y31&lt;=0.94)),"Orange",IF(AND(X31&gt;0.95,Y31&gt;0.95),"Vert","Orange")))</f>
        <v/>
      </c>
      <c r="AG31" t="inlineStr"/>
      <c r="AH31" t="inlineStr"/>
      <c r="A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>
        <f>N32*1.18</f>
        <v/>
      </c>
      <c r="P32" t="inlineStr"/>
      <c r="Q32">
        <f>P32*Z32</f>
        <v/>
      </c>
      <c r="R32" t="inlineStr"/>
      <c r="S32" t="inlineStr"/>
      <c r="T32" t="inlineStr"/>
      <c r="U32">
        <f>S32-T32</f>
        <v/>
      </c>
      <c r="V32">
        <f>IFERROR(S32/O32,"")</f>
        <v/>
      </c>
      <c r="W32">
        <f>IFERROR(T32/S32,"")</f>
        <v/>
      </c>
      <c r="X32">
        <f>IFERROR(Z32/MAX(0.0001,((TODAY()-AB32)/(AC32-AB32))),"")</f>
        <v/>
      </c>
      <c r="Y32">
        <f>IFERROR(Q32/R32,"")</f>
        <v/>
      </c>
      <c r="Z32" t="inlineStr"/>
      <c r="AA32" t="inlineStr"/>
      <c r="AB32" t="inlineStr"/>
      <c r="AC32" t="inlineStr"/>
      <c r="AD32" t="inlineStr"/>
      <c r="AE32" t="inlineStr"/>
      <c r="AF32">
        <f>IF(OR(X32&lt;0.8,Y32&lt;0.8,ISNUMBER(SEARCH("critique",AG32))),"Rouge",IF(OR(AND(X32&gt;=0.8,X32&lt;=0.94),AND(Y32&gt;=0.8,Y32&lt;=0.94)),"Orange",IF(AND(X32&gt;0.95,Y32&gt;0.95),"Vert","Orange")))</f>
        <v/>
      </c>
      <c r="AG32" t="inlineStr"/>
      <c r="AH32" t="inlineStr"/>
      <c r="A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>
        <f>N33*1.18</f>
        <v/>
      </c>
      <c r="P33" t="inlineStr"/>
      <c r="Q33">
        <f>P33*Z33</f>
        <v/>
      </c>
      <c r="R33" t="inlineStr"/>
      <c r="S33" t="inlineStr"/>
      <c r="T33" t="inlineStr"/>
      <c r="U33">
        <f>S33-T33</f>
        <v/>
      </c>
      <c r="V33">
        <f>IFERROR(S33/O33,"")</f>
        <v/>
      </c>
      <c r="W33">
        <f>IFERROR(T33/S33,"")</f>
        <v/>
      </c>
      <c r="X33">
        <f>IFERROR(Z33/MAX(0.0001,((TODAY()-AB33)/(AC33-AB33))),"")</f>
        <v/>
      </c>
      <c r="Y33">
        <f>IFERROR(Q33/R33,"")</f>
        <v/>
      </c>
      <c r="Z33" t="inlineStr"/>
      <c r="AA33" t="inlineStr"/>
      <c r="AB33" t="inlineStr"/>
      <c r="AC33" t="inlineStr"/>
      <c r="AD33" t="inlineStr"/>
      <c r="AE33" t="inlineStr"/>
      <c r="AF33">
        <f>IF(OR(X33&lt;0.8,Y33&lt;0.8,ISNUMBER(SEARCH("critique",AG33))),"Rouge",IF(OR(AND(X33&gt;=0.8,X33&lt;=0.94),AND(Y33&gt;=0.8,Y33&lt;=0.94)),"Orange",IF(AND(X33&gt;0.95,Y33&gt;0.95),"Vert","Orange")))</f>
        <v/>
      </c>
      <c r="AG33" t="inlineStr"/>
      <c r="AH33" t="inlineStr"/>
      <c r="A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>
        <f>N34*1.18</f>
        <v/>
      </c>
      <c r="P34" t="inlineStr"/>
      <c r="Q34">
        <f>P34*Z34</f>
        <v/>
      </c>
      <c r="R34" t="inlineStr"/>
      <c r="S34" t="inlineStr"/>
      <c r="T34" t="inlineStr"/>
      <c r="U34">
        <f>S34-T34</f>
        <v/>
      </c>
      <c r="V34">
        <f>IFERROR(S34/O34,"")</f>
        <v/>
      </c>
      <c r="W34">
        <f>IFERROR(T34/S34,"")</f>
        <v/>
      </c>
      <c r="X34">
        <f>IFERROR(Z34/MAX(0.0001,((TODAY()-AB34)/(AC34-AB34))),"")</f>
        <v/>
      </c>
      <c r="Y34">
        <f>IFERROR(Q34/R34,"")</f>
        <v/>
      </c>
      <c r="Z34" t="inlineStr"/>
      <c r="AA34" t="inlineStr"/>
      <c r="AB34" t="inlineStr"/>
      <c r="AC34" t="inlineStr"/>
      <c r="AD34" t="inlineStr"/>
      <c r="AE34" t="inlineStr"/>
      <c r="AF34">
        <f>IF(OR(X34&lt;0.8,Y34&lt;0.8,ISNUMBER(SEARCH("critique",AG34))),"Rouge",IF(OR(AND(X34&gt;=0.8,X34&lt;=0.94),AND(Y34&gt;=0.8,Y34&lt;=0.94)),"Orange",IF(AND(X34&gt;0.95,Y34&gt;0.95),"Vert","Orange")))</f>
        <v/>
      </c>
      <c r="AG34" t="inlineStr"/>
      <c r="AH34" t="inlineStr"/>
      <c r="A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>
        <f>N35*1.18</f>
        <v/>
      </c>
      <c r="P35" t="inlineStr"/>
      <c r="Q35">
        <f>P35*Z35</f>
        <v/>
      </c>
      <c r="R35" t="inlineStr"/>
      <c r="S35" t="inlineStr"/>
      <c r="T35" t="inlineStr"/>
      <c r="U35">
        <f>S35-T35</f>
        <v/>
      </c>
      <c r="V35">
        <f>IFERROR(S35/O35,"")</f>
        <v/>
      </c>
      <c r="W35">
        <f>IFERROR(T35/S35,"")</f>
        <v/>
      </c>
      <c r="X35">
        <f>IFERROR(Z35/MAX(0.0001,((TODAY()-AB35)/(AC35-AB35))),"")</f>
        <v/>
      </c>
      <c r="Y35">
        <f>IFERROR(Q35/R35,"")</f>
        <v/>
      </c>
      <c r="Z35" t="inlineStr"/>
      <c r="AA35" t="inlineStr"/>
      <c r="AB35" t="inlineStr"/>
      <c r="AC35" t="inlineStr"/>
      <c r="AD35" t="inlineStr"/>
      <c r="AE35" t="inlineStr"/>
      <c r="AF35">
        <f>IF(OR(X35&lt;0.8,Y35&lt;0.8,ISNUMBER(SEARCH("critique",AG35))),"Rouge",IF(OR(AND(X35&gt;=0.8,X35&lt;=0.94),AND(Y35&gt;=0.8,Y35&lt;=0.94)),"Orange",IF(AND(X35&gt;0.95,Y35&gt;0.95),"Vert","Orange")))</f>
        <v/>
      </c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>
        <f>N36*1.18</f>
        <v/>
      </c>
      <c r="P36" t="inlineStr"/>
      <c r="Q36">
        <f>P36*Z36</f>
        <v/>
      </c>
      <c r="R36" t="inlineStr"/>
      <c r="S36" t="inlineStr"/>
      <c r="T36" t="inlineStr"/>
      <c r="U36">
        <f>S36-T36</f>
        <v/>
      </c>
      <c r="V36">
        <f>IFERROR(S36/O36,"")</f>
        <v/>
      </c>
      <c r="W36">
        <f>IFERROR(T36/S36,"")</f>
        <v/>
      </c>
      <c r="X36">
        <f>IFERROR(Z36/MAX(0.0001,((TODAY()-AB36)/(AC36-AB36))),"")</f>
        <v/>
      </c>
      <c r="Y36">
        <f>IFERROR(Q36/R36,"")</f>
        <v/>
      </c>
      <c r="Z36" t="inlineStr"/>
      <c r="AA36" t="inlineStr"/>
      <c r="AB36" t="inlineStr"/>
      <c r="AC36" t="inlineStr"/>
      <c r="AD36" t="inlineStr"/>
      <c r="AE36" t="inlineStr"/>
      <c r="AF36">
        <f>IF(OR(X36&lt;0.8,Y36&lt;0.8,ISNUMBER(SEARCH("critique",AG36))),"Rouge",IF(OR(AND(X36&gt;=0.8,X36&lt;=0.94),AND(Y36&gt;=0.8,Y36&lt;=0.94)),"Orange",IF(AND(X36&gt;0.95,Y36&gt;0.95),"Vert","Orange")))</f>
        <v/>
      </c>
      <c r="AG36" t="inlineStr"/>
      <c r="AH36" t="inlineStr"/>
      <c r="A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>
        <f>N37*1.18</f>
        <v/>
      </c>
      <c r="P37" t="inlineStr"/>
      <c r="Q37">
        <f>P37*Z37</f>
        <v/>
      </c>
      <c r="R37" t="inlineStr"/>
      <c r="S37" t="inlineStr"/>
      <c r="T37" t="inlineStr"/>
      <c r="U37">
        <f>S37-T37</f>
        <v/>
      </c>
      <c r="V37">
        <f>IFERROR(S37/O37,"")</f>
        <v/>
      </c>
      <c r="W37">
        <f>IFERROR(T37/S37,"")</f>
        <v/>
      </c>
      <c r="X37">
        <f>IFERROR(Z37/MAX(0.0001,((TODAY()-AB37)/(AC37-AB37))),"")</f>
        <v/>
      </c>
      <c r="Y37">
        <f>IFERROR(Q37/R37,"")</f>
        <v/>
      </c>
      <c r="Z37" t="inlineStr"/>
      <c r="AA37" t="inlineStr"/>
      <c r="AB37" t="inlineStr"/>
      <c r="AC37" t="inlineStr"/>
      <c r="AD37" t="inlineStr"/>
      <c r="AE37" t="inlineStr"/>
      <c r="AF37">
        <f>IF(OR(X37&lt;0.8,Y37&lt;0.8,ISNUMBER(SEARCH("critique",AG37))),"Rouge",IF(OR(AND(X37&gt;=0.8,X37&lt;=0.94),AND(Y37&gt;=0.8,Y37&lt;=0.94)),"Orange",IF(AND(X37&gt;0.95,Y37&gt;0.95),"Vert","Orange")))</f>
        <v/>
      </c>
      <c r="AG37" t="inlineStr"/>
      <c r="AH37" t="inlineStr"/>
      <c r="A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>
        <f>N38*1.18</f>
        <v/>
      </c>
      <c r="P38" t="inlineStr"/>
      <c r="Q38">
        <f>P38*Z38</f>
        <v/>
      </c>
      <c r="R38" t="inlineStr"/>
      <c r="S38" t="inlineStr"/>
      <c r="T38" t="inlineStr"/>
      <c r="U38">
        <f>S38-T38</f>
        <v/>
      </c>
      <c r="V38">
        <f>IFERROR(S38/O38,"")</f>
        <v/>
      </c>
      <c r="W38">
        <f>IFERROR(T38/S38,"")</f>
        <v/>
      </c>
      <c r="X38">
        <f>IFERROR(Z38/MAX(0.0001,((TODAY()-AB38)/(AC38-AB38))),"")</f>
        <v/>
      </c>
      <c r="Y38">
        <f>IFERROR(Q38/R38,"")</f>
        <v/>
      </c>
      <c r="Z38" t="inlineStr"/>
      <c r="AA38" t="inlineStr"/>
      <c r="AB38" t="inlineStr"/>
      <c r="AC38" t="inlineStr"/>
      <c r="AD38" t="inlineStr"/>
      <c r="AE38" t="inlineStr"/>
      <c r="AF38">
        <f>IF(OR(X38&lt;0.8,Y38&lt;0.8,ISNUMBER(SEARCH("critique",AG38))),"Rouge",IF(OR(AND(X38&gt;=0.8,X38&lt;=0.94),AND(Y38&gt;=0.8,Y38&lt;=0.94)),"Orange",IF(AND(X38&gt;0.95,Y38&gt;0.95),"Vert","Orange")))</f>
        <v/>
      </c>
      <c r="AG38" t="inlineStr"/>
      <c r="AH38" t="inlineStr"/>
      <c r="A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>
        <f>N39*1.18</f>
        <v/>
      </c>
      <c r="P39" t="inlineStr"/>
      <c r="Q39">
        <f>P39*Z39</f>
        <v/>
      </c>
      <c r="R39" t="inlineStr"/>
      <c r="S39" t="inlineStr"/>
      <c r="T39" t="inlineStr"/>
      <c r="U39">
        <f>S39-T39</f>
        <v/>
      </c>
      <c r="V39">
        <f>IFERROR(S39/O39,"")</f>
        <v/>
      </c>
      <c r="W39">
        <f>IFERROR(T39/S39,"")</f>
        <v/>
      </c>
      <c r="X39">
        <f>IFERROR(Z39/MAX(0.0001,((TODAY()-AB39)/(AC39-AB39))),"")</f>
        <v/>
      </c>
      <c r="Y39">
        <f>IFERROR(Q39/R39,"")</f>
        <v/>
      </c>
      <c r="Z39" t="inlineStr"/>
      <c r="AA39" t="inlineStr"/>
      <c r="AB39" t="inlineStr"/>
      <c r="AC39" t="inlineStr"/>
      <c r="AD39" t="inlineStr"/>
      <c r="AE39" t="inlineStr"/>
      <c r="AF39">
        <f>IF(OR(X39&lt;0.8,Y39&lt;0.8,ISNUMBER(SEARCH("critique",AG39))),"Rouge",IF(OR(AND(X39&gt;=0.8,X39&lt;=0.94),AND(Y39&gt;=0.8,Y39&lt;=0.94)),"Orange",IF(AND(X39&gt;0.95,Y39&gt;0.95),"Vert","Orange")))</f>
        <v/>
      </c>
      <c r="AG39" t="inlineStr"/>
      <c r="AH39" t="inlineStr"/>
      <c r="A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>
        <f>N40*1.18</f>
        <v/>
      </c>
      <c r="P40" t="inlineStr"/>
      <c r="Q40">
        <f>P40*Z40</f>
        <v/>
      </c>
      <c r="R40" t="inlineStr"/>
      <c r="S40" t="inlineStr"/>
      <c r="T40" t="inlineStr"/>
      <c r="U40">
        <f>S40-T40</f>
        <v/>
      </c>
      <c r="V40">
        <f>IFERROR(S40/O40,"")</f>
        <v/>
      </c>
      <c r="W40">
        <f>IFERROR(T40/S40,"")</f>
        <v/>
      </c>
      <c r="X40">
        <f>IFERROR(Z40/MAX(0.0001,((TODAY()-AB40)/(AC40-AB40))),"")</f>
        <v/>
      </c>
      <c r="Y40">
        <f>IFERROR(Q40/R40,"")</f>
        <v/>
      </c>
      <c r="Z40" t="inlineStr"/>
      <c r="AA40" t="inlineStr"/>
      <c r="AB40" t="inlineStr"/>
      <c r="AC40" t="inlineStr"/>
      <c r="AD40" t="inlineStr"/>
      <c r="AE40" t="inlineStr"/>
      <c r="AF40">
        <f>IF(OR(X40&lt;0.8,Y40&lt;0.8,ISNUMBER(SEARCH("critique",AG40))),"Rouge",IF(OR(AND(X40&gt;=0.8,X40&lt;=0.94),AND(Y40&gt;=0.8,Y40&lt;=0.94)),"Orange",IF(AND(X40&gt;0.95,Y40&gt;0.95),"Vert","Orange")))</f>
        <v/>
      </c>
      <c r="AG40" t="inlineStr"/>
      <c r="AH40" t="inlineStr"/>
      <c r="A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>
        <f>N41*1.18</f>
        <v/>
      </c>
      <c r="P41" t="inlineStr"/>
      <c r="Q41">
        <f>P41*Z41</f>
        <v/>
      </c>
      <c r="R41" t="inlineStr"/>
      <c r="S41" t="inlineStr"/>
      <c r="T41" t="inlineStr"/>
      <c r="U41">
        <f>S41-T41</f>
        <v/>
      </c>
      <c r="V41">
        <f>IFERROR(S41/O41,"")</f>
        <v/>
      </c>
      <c r="W41">
        <f>IFERROR(T41/S41,"")</f>
        <v/>
      </c>
      <c r="X41">
        <f>IFERROR(Z41/MAX(0.0001,((TODAY()-AB41)/(AC41-AB41))),"")</f>
        <v/>
      </c>
      <c r="Y41">
        <f>IFERROR(Q41/R41,"")</f>
        <v/>
      </c>
      <c r="Z41" t="inlineStr"/>
      <c r="AA41" t="inlineStr"/>
      <c r="AB41" t="inlineStr"/>
      <c r="AC41" t="inlineStr"/>
      <c r="AD41" t="inlineStr"/>
      <c r="AE41" t="inlineStr"/>
      <c r="AF41">
        <f>IF(OR(X41&lt;0.8,Y41&lt;0.8,ISNUMBER(SEARCH("critique",AG41))),"Rouge",IF(OR(AND(X41&gt;=0.8,X41&lt;=0.94),AND(Y41&gt;=0.8,Y41&lt;=0.94)),"Orange",IF(AND(X41&gt;0.95,Y41&gt;0.95),"Vert","Orange")))</f>
        <v/>
      </c>
      <c r="AG41" t="inlineStr"/>
      <c r="AH41" t="inlineStr"/>
      <c r="A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>
        <f>N42*1.18</f>
        <v/>
      </c>
      <c r="P42" t="inlineStr"/>
      <c r="Q42">
        <f>P42*Z42</f>
        <v/>
      </c>
      <c r="R42" t="inlineStr"/>
      <c r="S42" t="inlineStr"/>
      <c r="T42" t="inlineStr"/>
      <c r="U42">
        <f>S42-T42</f>
        <v/>
      </c>
      <c r="V42">
        <f>IFERROR(S42/O42,"")</f>
        <v/>
      </c>
      <c r="W42">
        <f>IFERROR(T42/S42,"")</f>
        <v/>
      </c>
      <c r="X42">
        <f>IFERROR(Z42/MAX(0.0001,((TODAY()-AB42)/(AC42-AB42))),"")</f>
        <v/>
      </c>
      <c r="Y42">
        <f>IFERROR(Q42/R42,"")</f>
        <v/>
      </c>
      <c r="Z42" t="inlineStr"/>
      <c r="AA42" t="inlineStr"/>
      <c r="AB42" t="inlineStr"/>
      <c r="AC42" t="inlineStr"/>
      <c r="AD42" t="inlineStr"/>
      <c r="AE42" t="inlineStr"/>
      <c r="AF42">
        <f>IF(OR(X42&lt;0.8,Y42&lt;0.8,ISNUMBER(SEARCH("critique",AG42))),"Rouge",IF(OR(AND(X42&gt;=0.8,X42&lt;=0.94),AND(Y42&gt;=0.8,Y42&lt;=0.94)),"Orange",IF(AND(X42&gt;0.95,Y42&gt;0.95),"Vert","Orange")))</f>
        <v/>
      </c>
      <c r="AG42" t="inlineStr"/>
      <c r="AH42" t="inlineStr"/>
      <c r="A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N43*1.18</f>
        <v/>
      </c>
      <c r="P43" t="inlineStr"/>
      <c r="Q43">
        <f>P43*Z43</f>
        <v/>
      </c>
      <c r="R43" t="inlineStr"/>
      <c r="S43" t="inlineStr"/>
      <c r="T43" t="inlineStr"/>
      <c r="U43">
        <f>S43-T43</f>
        <v/>
      </c>
      <c r="V43">
        <f>IFERROR(S43/O43,"")</f>
        <v/>
      </c>
      <c r="W43">
        <f>IFERROR(T43/S43,"")</f>
        <v/>
      </c>
      <c r="X43">
        <f>IFERROR(Z43/MAX(0.0001,((TODAY()-AB43)/(AC43-AB43))),"")</f>
        <v/>
      </c>
      <c r="Y43">
        <f>IFERROR(Q43/R43,"")</f>
        <v/>
      </c>
      <c r="Z43" t="inlineStr"/>
      <c r="AA43" t="inlineStr"/>
      <c r="AB43" t="inlineStr"/>
      <c r="AC43" t="inlineStr"/>
      <c r="AD43" t="inlineStr"/>
      <c r="AE43" t="inlineStr"/>
      <c r="AF43">
        <f>IF(OR(X43&lt;0.8,Y43&lt;0.8,ISNUMBER(SEARCH("critique",AG43))),"Rouge",IF(OR(AND(X43&gt;=0.8,X43&lt;=0.94),AND(Y43&gt;=0.8,Y43&lt;=0.94)),"Orange",IF(AND(X43&gt;0.95,Y43&gt;0.95),"Vert","Orange")))</f>
        <v/>
      </c>
      <c r="AG43" t="inlineStr"/>
      <c r="AH43" t="inlineStr"/>
      <c r="A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N44*1.18</f>
        <v/>
      </c>
      <c r="P44" t="inlineStr"/>
      <c r="Q44">
        <f>P44*Z44</f>
        <v/>
      </c>
      <c r="R44" t="inlineStr"/>
      <c r="S44" t="inlineStr"/>
      <c r="T44" t="inlineStr"/>
      <c r="U44">
        <f>S44-T44</f>
        <v/>
      </c>
      <c r="V44">
        <f>IFERROR(S44/O44,"")</f>
        <v/>
      </c>
      <c r="W44">
        <f>IFERROR(T44/S44,"")</f>
        <v/>
      </c>
      <c r="X44">
        <f>IFERROR(Z44/MAX(0.0001,((TODAY()-AB44)/(AC44-AB44))),"")</f>
        <v/>
      </c>
      <c r="Y44">
        <f>IFERROR(Q44/R44,"")</f>
        <v/>
      </c>
      <c r="Z44" t="inlineStr"/>
      <c r="AA44" t="inlineStr"/>
      <c r="AB44" t="inlineStr"/>
      <c r="AC44" t="inlineStr"/>
      <c r="AD44" t="inlineStr"/>
      <c r="AE44" t="inlineStr"/>
      <c r="AF44">
        <f>IF(OR(X44&lt;0.8,Y44&lt;0.8,ISNUMBER(SEARCH("critique",AG44))),"Rouge",IF(OR(AND(X44&gt;=0.8,X44&lt;=0.94),AND(Y44&gt;=0.8,Y44&lt;=0.94)),"Orange",IF(AND(X44&gt;0.95,Y44&gt;0.95),"Vert","Orange")))</f>
        <v/>
      </c>
      <c r="AG44" t="inlineStr"/>
      <c r="AH44" t="inlineStr"/>
      <c r="A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N45*1.18</f>
        <v/>
      </c>
      <c r="P45" t="inlineStr"/>
      <c r="Q45">
        <f>P45*Z45</f>
        <v/>
      </c>
      <c r="R45" t="inlineStr"/>
      <c r="S45" t="inlineStr"/>
      <c r="T45" t="inlineStr"/>
      <c r="U45">
        <f>S45-T45</f>
        <v/>
      </c>
      <c r="V45">
        <f>IFERROR(S45/O45,"")</f>
        <v/>
      </c>
      <c r="W45">
        <f>IFERROR(T45/S45,"")</f>
        <v/>
      </c>
      <c r="X45">
        <f>IFERROR(Z45/MAX(0.0001,((TODAY()-AB45)/(AC45-AB45))),"")</f>
        <v/>
      </c>
      <c r="Y45">
        <f>IFERROR(Q45/R45,"")</f>
        <v/>
      </c>
      <c r="Z45" t="inlineStr"/>
      <c r="AA45" t="inlineStr"/>
      <c r="AB45" t="inlineStr"/>
      <c r="AC45" t="inlineStr"/>
      <c r="AD45" t="inlineStr"/>
      <c r="AE45" t="inlineStr"/>
      <c r="AF45">
        <f>IF(OR(X45&lt;0.8,Y45&lt;0.8,ISNUMBER(SEARCH("critique",AG45))),"Rouge",IF(OR(AND(X45&gt;=0.8,X45&lt;=0.94),AND(Y45&gt;=0.8,Y45&lt;=0.94)),"Orange",IF(AND(X45&gt;0.95,Y45&gt;0.95),"Vert","Orange")))</f>
        <v/>
      </c>
      <c r="AG45" t="inlineStr"/>
      <c r="AH45" t="inlineStr"/>
      <c r="A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N46*1.18</f>
        <v/>
      </c>
      <c r="P46" t="inlineStr"/>
      <c r="Q46">
        <f>P46*Z46</f>
        <v/>
      </c>
      <c r="R46" t="inlineStr"/>
      <c r="S46" t="inlineStr"/>
      <c r="T46" t="inlineStr"/>
      <c r="U46">
        <f>S46-T46</f>
        <v/>
      </c>
      <c r="V46">
        <f>IFERROR(S46/O46,"")</f>
        <v/>
      </c>
      <c r="W46">
        <f>IFERROR(T46/S46,"")</f>
        <v/>
      </c>
      <c r="X46">
        <f>IFERROR(Z46/MAX(0.0001,((TODAY()-AB46)/(AC46-AB46))),"")</f>
        <v/>
      </c>
      <c r="Y46">
        <f>IFERROR(Q46/R46,"")</f>
        <v/>
      </c>
      <c r="Z46" t="inlineStr"/>
      <c r="AA46" t="inlineStr"/>
      <c r="AB46" t="inlineStr"/>
      <c r="AC46" t="inlineStr"/>
      <c r="AD46" t="inlineStr"/>
      <c r="AE46" t="inlineStr"/>
      <c r="AF46">
        <f>IF(OR(X46&lt;0.8,Y46&lt;0.8,ISNUMBER(SEARCH("critique",AG46))),"Rouge",IF(OR(AND(X46&gt;=0.8,X46&lt;=0.94),AND(Y46&gt;=0.8,Y46&lt;=0.94)),"Orange",IF(AND(X46&gt;0.95,Y46&gt;0.95),"Vert","Orange")))</f>
        <v/>
      </c>
      <c r="AG46" t="inlineStr"/>
      <c r="AH46" t="inlineStr"/>
      <c r="A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N47*1.18</f>
        <v/>
      </c>
      <c r="P47" t="inlineStr"/>
      <c r="Q47">
        <f>P47*Z47</f>
        <v/>
      </c>
      <c r="R47" t="inlineStr"/>
      <c r="S47" t="inlineStr"/>
      <c r="T47" t="inlineStr"/>
      <c r="U47">
        <f>S47-T47</f>
        <v/>
      </c>
      <c r="V47">
        <f>IFERROR(S47/O47,"")</f>
        <v/>
      </c>
      <c r="W47">
        <f>IFERROR(T47/S47,"")</f>
        <v/>
      </c>
      <c r="X47">
        <f>IFERROR(Z47/MAX(0.0001,((TODAY()-AB47)/(AC47-AB47))),"")</f>
        <v/>
      </c>
      <c r="Y47">
        <f>IFERROR(Q47/R47,"")</f>
        <v/>
      </c>
      <c r="Z47" t="inlineStr"/>
      <c r="AA47" t="inlineStr"/>
      <c r="AB47" t="inlineStr"/>
      <c r="AC47" t="inlineStr"/>
      <c r="AD47" t="inlineStr"/>
      <c r="AE47" t="inlineStr"/>
      <c r="AF47">
        <f>IF(OR(X47&lt;0.8,Y47&lt;0.8,ISNUMBER(SEARCH("critique",AG47))),"Rouge",IF(OR(AND(X47&gt;=0.8,X47&lt;=0.94),AND(Y47&gt;=0.8,Y47&lt;=0.94)),"Orange",IF(AND(X47&gt;0.95,Y47&gt;0.95),"Vert","Orange")))</f>
        <v/>
      </c>
      <c r="AG47" t="inlineStr"/>
      <c r="AH47" t="inlineStr"/>
      <c r="A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N48*1.18</f>
        <v/>
      </c>
      <c r="P48" t="inlineStr"/>
      <c r="Q48">
        <f>P48*Z48</f>
        <v/>
      </c>
      <c r="R48" t="inlineStr"/>
      <c r="S48" t="inlineStr"/>
      <c r="T48" t="inlineStr"/>
      <c r="U48">
        <f>S48-T48</f>
        <v/>
      </c>
      <c r="V48">
        <f>IFERROR(S48/O48,"")</f>
        <v/>
      </c>
      <c r="W48">
        <f>IFERROR(T48/S48,"")</f>
        <v/>
      </c>
      <c r="X48">
        <f>IFERROR(Z48/MAX(0.0001,((TODAY()-AB48)/(AC48-AB48))),"")</f>
        <v/>
      </c>
      <c r="Y48">
        <f>IFERROR(Q48/R48,"")</f>
        <v/>
      </c>
      <c r="Z48" t="inlineStr"/>
      <c r="AA48" t="inlineStr"/>
      <c r="AB48" t="inlineStr"/>
      <c r="AC48" t="inlineStr"/>
      <c r="AD48" t="inlineStr"/>
      <c r="AE48" t="inlineStr"/>
      <c r="AF48">
        <f>IF(OR(X48&lt;0.8,Y48&lt;0.8,ISNUMBER(SEARCH("critique",AG48))),"Rouge",IF(OR(AND(X48&gt;=0.8,X48&lt;=0.94),AND(Y48&gt;=0.8,Y48&lt;=0.94)),"Orange",IF(AND(X48&gt;0.95,Y48&gt;0.95),"Vert","Orange")))</f>
        <v/>
      </c>
      <c r="AG48" t="inlineStr"/>
      <c r="AH48" t="inlineStr"/>
      <c r="A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N49*1.18</f>
        <v/>
      </c>
      <c r="P49" t="inlineStr"/>
      <c r="Q49">
        <f>P49*Z49</f>
        <v/>
      </c>
      <c r="R49" t="inlineStr"/>
      <c r="S49" t="inlineStr"/>
      <c r="T49" t="inlineStr"/>
      <c r="U49">
        <f>S49-T49</f>
        <v/>
      </c>
      <c r="V49">
        <f>IFERROR(S49/O49,"")</f>
        <v/>
      </c>
      <c r="W49">
        <f>IFERROR(T49/S49,"")</f>
        <v/>
      </c>
      <c r="X49">
        <f>IFERROR(Z49/MAX(0.0001,((TODAY()-AB49)/(AC49-AB49))),"")</f>
        <v/>
      </c>
      <c r="Y49">
        <f>IFERROR(Q49/R49,"")</f>
        <v/>
      </c>
      <c r="Z49" t="inlineStr"/>
      <c r="AA49" t="inlineStr"/>
      <c r="AB49" t="inlineStr"/>
      <c r="AC49" t="inlineStr"/>
      <c r="AD49" t="inlineStr"/>
      <c r="AE49" t="inlineStr"/>
      <c r="AF49">
        <f>IF(OR(X49&lt;0.8,Y49&lt;0.8,ISNUMBER(SEARCH("critique",AG49))),"Rouge",IF(OR(AND(X49&gt;=0.8,X49&lt;=0.94),AND(Y49&gt;=0.8,Y49&lt;=0.94)),"Orange",IF(AND(X49&gt;0.95,Y49&gt;0.95),"Vert","Orange")))</f>
        <v/>
      </c>
      <c r="AG49" t="inlineStr"/>
      <c r="AH49" t="inlineStr"/>
      <c r="A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N50*1.18</f>
        <v/>
      </c>
      <c r="P50" t="inlineStr"/>
      <c r="Q50">
        <f>P50*Z50</f>
        <v/>
      </c>
      <c r="R50" t="inlineStr"/>
      <c r="S50" t="inlineStr"/>
      <c r="T50" t="inlineStr"/>
      <c r="U50">
        <f>S50-T50</f>
        <v/>
      </c>
      <c r="V50">
        <f>IFERROR(S50/O50,"")</f>
        <v/>
      </c>
      <c r="W50">
        <f>IFERROR(T50/S50,"")</f>
        <v/>
      </c>
      <c r="X50">
        <f>IFERROR(Z50/MAX(0.0001,((TODAY()-AB50)/(AC50-AB50))),"")</f>
        <v/>
      </c>
      <c r="Y50">
        <f>IFERROR(Q50/R50,"")</f>
        <v/>
      </c>
      <c r="Z50" t="inlineStr"/>
      <c r="AA50" t="inlineStr"/>
      <c r="AB50" t="inlineStr"/>
      <c r="AC50" t="inlineStr"/>
      <c r="AD50" t="inlineStr"/>
      <c r="AE50" t="inlineStr"/>
      <c r="AF50">
        <f>IF(OR(X50&lt;0.8,Y50&lt;0.8,ISNUMBER(SEARCH("critique",AG50))),"Rouge",IF(OR(AND(X50&gt;=0.8,X50&lt;=0.94),AND(Y50&gt;=0.8,Y50&lt;=0.94)),"Orange",IF(AND(X50&gt;0.95,Y50&gt;0.95),"Vert","Orange")))</f>
        <v/>
      </c>
      <c r="AG50" t="inlineStr"/>
      <c r="AH50" t="inlineStr"/>
      <c r="A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N51*1.18</f>
        <v/>
      </c>
      <c r="P51" t="inlineStr"/>
      <c r="Q51">
        <f>P51*Z51</f>
        <v/>
      </c>
      <c r="R51" t="inlineStr"/>
      <c r="S51" t="inlineStr"/>
      <c r="T51" t="inlineStr"/>
      <c r="U51">
        <f>S51-T51</f>
        <v/>
      </c>
      <c r="V51">
        <f>IFERROR(S51/O51,"")</f>
        <v/>
      </c>
      <c r="W51">
        <f>IFERROR(T51/S51,"")</f>
        <v/>
      </c>
      <c r="X51">
        <f>IFERROR(Z51/MAX(0.0001,((TODAY()-AB51)/(AC51-AB51))),"")</f>
        <v/>
      </c>
      <c r="Y51">
        <f>IFERROR(Q51/R51,"")</f>
        <v/>
      </c>
      <c r="Z51" t="inlineStr"/>
      <c r="AA51" t="inlineStr"/>
      <c r="AB51" t="inlineStr"/>
      <c r="AC51" t="inlineStr"/>
      <c r="AD51" t="inlineStr"/>
      <c r="AE51" t="inlineStr"/>
      <c r="AF51">
        <f>IF(OR(X51&lt;0.8,Y51&lt;0.8,ISNUMBER(SEARCH("critique",AG51))),"Rouge",IF(OR(AND(X51&gt;=0.8,X51&lt;=0.94),AND(Y51&gt;=0.8,Y51&lt;=0.94)),"Orange",IF(AND(X51&gt;0.95,Y51&gt;0.95),"Vert","Orange")))</f>
        <v/>
      </c>
      <c r="AG51" t="inlineStr"/>
      <c r="AH51" t="inlineStr"/>
      <c r="A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N52*1.18</f>
        <v/>
      </c>
      <c r="P52" t="inlineStr"/>
      <c r="Q52">
        <f>P52*Z52</f>
        <v/>
      </c>
      <c r="R52" t="inlineStr"/>
      <c r="S52" t="inlineStr"/>
      <c r="T52" t="inlineStr"/>
      <c r="U52">
        <f>S52-T52</f>
        <v/>
      </c>
      <c r="V52">
        <f>IFERROR(S52/O52,"")</f>
        <v/>
      </c>
      <c r="W52">
        <f>IFERROR(T52/S52,"")</f>
        <v/>
      </c>
      <c r="X52">
        <f>IFERROR(Z52/MAX(0.0001,((TODAY()-AB52)/(AC52-AB52))),"")</f>
        <v/>
      </c>
      <c r="Y52">
        <f>IFERROR(Q52/R52,"")</f>
        <v/>
      </c>
      <c r="Z52" t="inlineStr"/>
      <c r="AA52" t="inlineStr"/>
      <c r="AB52" t="inlineStr"/>
      <c r="AC52" t="inlineStr"/>
      <c r="AD52" t="inlineStr"/>
      <c r="AE52" t="inlineStr"/>
      <c r="AF52">
        <f>IF(OR(X52&lt;0.8,Y52&lt;0.8,ISNUMBER(SEARCH("critique",AG52))),"Rouge",IF(OR(AND(X52&gt;=0.8,X52&lt;=0.94),AND(Y52&gt;=0.8,Y52&lt;=0.94)),"Orange",IF(AND(X52&gt;0.95,Y52&gt;0.95),"Vert","Orange")))</f>
        <v/>
      </c>
      <c r="AG52" t="inlineStr"/>
      <c r="AH52" t="inlineStr"/>
      <c r="A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N53*1.18</f>
        <v/>
      </c>
      <c r="P53" t="inlineStr"/>
      <c r="Q53">
        <f>P53*Z53</f>
        <v/>
      </c>
      <c r="R53" t="inlineStr"/>
      <c r="S53" t="inlineStr"/>
      <c r="T53" t="inlineStr"/>
      <c r="U53">
        <f>S53-T53</f>
        <v/>
      </c>
      <c r="V53">
        <f>IFERROR(S53/O53,"")</f>
        <v/>
      </c>
      <c r="W53">
        <f>IFERROR(T53/S53,"")</f>
        <v/>
      </c>
      <c r="X53">
        <f>IFERROR(Z53/MAX(0.0001,((TODAY()-AB53)/(AC53-AB53))),"")</f>
        <v/>
      </c>
      <c r="Y53">
        <f>IFERROR(Q53/R53,"")</f>
        <v/>
      </c>
      <c r="Z53" t="inlineStr"/>
      <c r="AA53" t="inlineStr"/>
      <c r="AB53" t="inlineStr"/>
      <c r="AC53" t="inlineStr"/>
      <c r="AD53" t="inlineStr"/>
      <c r="AE53" t="inlineStr"/>
      <c r="AF53">
        <f>IF(OR(X53&lt;0.8,Y53&lt;0.8,ISNUMBER(SEARCH("critique",AG53))),"Rouge",IF(OR(AND(X53&gt;=0.8,X53&lt;=0.94),AND(Y53&gt;=0.8,Y53&lt;=0.94)),"Orange",IF(AND(X53&gt;0.95,Y53&gt;0.95),"Vert","Orange")))</f>
        <v/>
      </c>
      <c r="AG53" t="inlineStr"/>
      <c r="AH53" t="inlineStr"/>
      <c r="A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N54*1.18</f>
        <v/>
      </c>
      <c r="P54" t="inlineStr"/>
      <c r="Q54">
        <f>P54*Z54</f>
        <v/>
      </c>
      <c r="R54" t="inlineStr"/>
      <c r="S54" t="inlineStr"/>
      <c r="T54" t="inlineStr"/>
      <c r="U54">
        <f>S54-T54</f>
        <v/>
      </c>
      <c r="V54">
        <f>IFERROR(S54/O54,"")</f>
        <v/>
      </c>
      <c r="W54">
        <f>IFERROR(T54/S54,"")</f>
        <v/>
      </c>
      <c r="X54">
        <f>IFERROR(Z54/MAX(0.0001,((TODAY()-AB54)/(AC54-AB54))),"")</f>
        <v/>
      </c>
      <c r="Y54">
        <f>IFERROR(Q54/R54,"")</f>
        <v/>
      </c>
      <c r="Z54" t="inlineStr"/>
      <c r="AA54" t="inlineStr"/>
      <c r="AB54" t="inlineStr"/>
      <c r="AC54" t="inlineStr"/>
      <c r="AD54" t="inlineStr"/>
      <c r="AE54" t="inlineStr"/>
      <c r="AF54">
        <f>IF(OR(X54&lt;0.8,Y54&lt;0.8,ISNUMBER(SEARCH("critique",AG54))),"Rouge",IF(OR(AND(X54&gt;=0.8,X54&lt;=0.94),AND(Y54&gt;=0.8,Y54&lt;=0.94)),"Orange",IF(AND(X54&gt;0.95,Y54&gt;0.95),"Vert","Orange")))</f>
        <v/>
      </c>
      <c r="AG54" t="inlineStr"/>
      <c r="AH54" t="inlineStr"/>
      <c r="A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N55*1.18</f>
        <v/>
      </c>
      <c r="P55" t="inlineStr"/>
      <c r="Q55">
        <f>P55*Z55</f>
        <v/>
      </c>
      <c r="R55" t="inlineStr"/>
      <c r="S55" t="inlineStr"/>
      <c r="T55" t="inlineStr"/>
      <c r="U55">
        <f>S55-T55</f>
        <v/>
      </c>
      <c r="V55">
        <f>IFERROR(S55/O55,"")</f>
        <v/>
      </c>
      <c r="W55">
        <f>IFERROR(T55/S55,"")</f>
        <v/>
      </c>
      <c r="X55">
        <f>IFERROR(Z55/MAX(0.0001,((TODAY()-AB55)/(AC55-AB55))),"")</f>
        <v/>
      </c>
      <c r="Y55">
        <f>IFERROR(Q55/R55,"")</f>
        <v/>
      </c>
      <c r="Z55" t="inlineStr"/>
      <c r="AA55" t="inlineStr"/>
      <c r="AB55" t="inlineStr"/>
      <c r="AC55" t="inlineStr"/>
      <c r="AD55" t="inlineStr"/>
      <c r="AE55" t="inlineStr"/>
      <c r="AF55">
        <f>IF(OR(X55&lt;0.8,Y55&lt;0.8,ISNUMBER(SEARCH("critique",AG55))),"Rouge",IF(OR(AND(X55&gt;=0.8,X55&lt;=0.94),AND(Y55&gt;=0.8,Y55&lt;=0.94)),"Orange",IF(AND(X55&gt;0.95,Y55&gt;0.95),"Vert","Orange")))</f>
        <v/>
      </c>
      <c r="AG55" t="inlineStr"/>
      <c r="AH55" t="inlineStr"/>
      <c r="A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N56*1.18</f>
        <v/>
      </c>
      <c r="P56" t="inlineStr"/>
      <c r="Q56">
        <f>P56*Z56</f>
        <v/>
      </c>
      <c r="R56" t="inlineStr"/>
      <c r="S56" t="inlineStr"/>
      <c r="T56" t="inlineStr"/>
      <c r="U56">
        <f>S56-T56</f>
        <v/>
      </c>
      <c r="V56">
        <f>IFERROR(S56/O56,"")</f>
        <v/>
      </c>
      <c r="W56">
        <f>IFERROR(T56/S56,"")</f>
        <v/>
      </c>
      <c r="X56">
        <f>IFERROR(Z56/MAX(0.0001,((TODAY()-AB56)/(AC56-AB56))),"")</f>
        <v/>
      </c>
      <c r="Y56">
        <f>IFERROR(Q56/R56,"")</f>
        <v/>
      </c>
      <c r="Z56" t="inlineStr"/>
      <c r="AA56" t="inlineStr"/>
      <c r="AB56" t="inlineStr"/>
      <c r="AC56" t="inlineStr"/>
      <c r="AD56" t="inlineStr"/>
      <c r="AE56" t="inlineStr"/>
      <c r="AF56">
        <f>IF(OR(X56&lt;0.8,Y56&lt;0.8,ISNUMBER(SEARCH("critique",AG56))),"Rouge",IF(OR(AND(X56&gt;=0.8,X56&lt;=0.94),AND(Y56&gt;=0.8,Y56&lt;=0.94)),"Orange",IF(AND(X56&gt;0.95,Y56&gt;0.95),"Vert","Orange")))</f>
        <v/>
      </c>
      <c r="AG56" t="inlineStr"/>
      <c r="AH56" t="inlineStr"/>
      <c r="A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N57*1.18</f>
        <v/>
      </c>
      <c r="P57" t="inlineStr"/>
      <c r="Q57">
        <f>P57*Z57</f>
        <v/>
      </c>
      <c r="R57" t="inlineStr"/>
      <c r="S57" t="inlineStr"/>
      <c r="T57" t="inlineStr"/>
      <c r="U57">
        <f>S57-T57</f>
        <v/>
      </c>
      <c r="V57">
        <f>IFERROR(S57/O57,"")</f>
        <v/>
      </c>
      <c r="W57">
        <f>IFERROR(T57/S57,"")</f>
        <v/>
      </c>
      <c r="X57">
        <f>IFERROR(Z57/MAX(0.0001,((TODAY()-AB57)/(AC57-AB57))),"")</f>
        <v/>
      </c>
      <c r="Y57">
        <f>IFERROR(Q57/R57,"")</f>
        <v/>
      </c>
      <c r="Z57" t="inlineStr"/>
      <c r="AA57" t="inlineStr"/>
      <c r="AB57" t="inlineStr"/>
      <c r="AC57" t="inlineStr"/>
      <c r="AD57" t="inlineStr"/>
      <c r="AE57" t="inlineStr"/>
      <c r="AF57">
        <f>IF(OR(X57&lt;0.8,Y57&lt;0.8,ISNUMBER(SEARCH("critique",AG57))),"Rouge",IF(OR(AND(X57&gt;=0.8,X57&lt;=0.94),AND(Y57&gt;=0.8,Y57&lt;=0.94)),"Orange",IF(AND(X57&gt;0.95,Y57&gt;0.95),"Vert","Orange")))</f>
        <v/>
      </c>
      <c r="AG57" t="inlineStr"/>
      <c r="AH57" t="inlineStr"/>
      <c r="A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N58*1.18</f>
        <v/>
      </c>
      <c r="P58" t="inlineStr"/>
      <c r="Q58">
        <f>P58*Z58</f>
        <v/>
      </c>
      <c r="R58" t="inlineStr"/>
      <c r="S58" t="inlineStr"/>
      <c r="T58" t="inlineStr"/>
      <c r="U58">
        <f>S58-T58</f>
        <v/>
      </c>
      <c r="V58">
        <f>IFERROR(S58/O58,"")</f>
        <v/>
      </c>
      <c r="W58">
        <f>IFERROR(T58/S58,"")</f>
        <v/>
      </c>
      <c r="X58">
        <f>IFERROR(Z58/MAX(0.0001,((TODAY()-AB58)/(AC58-AB58))),"")</f>
        <v/>
      </c>
      <c r="Y58">
        <f>IFERROR(Q58/R58,"")</f>
        <v/>
      </c>
      <c r="Z58" t="inlineStr"/>
      <c r="AA58" t="inlineStr"/>
      <c r="AB58" t="inlineStr"/>
      <c r="AC58" t="inlineStr"/>
      <c r="AD58" t="inlineStr"/>
      <c r="AE58" t="inlineStr"/>
      <c r="AF58">
        <f>IF(OR(X58&lt;0.8,Y58&lt;0.8,ISNUMBER(SEARCH("critique",AG58))),"Rouge",IF(OR(AND(X58&gt;=0.8,X58&lt;=0.94),AND(Y58&gt;=0.8,Y58&lt;=0.94)),"Orange",IF(AND(X58&gt;0.95,Y58&gt;0.95),"Vert","Orange")))</f>
        <v/>
      </c>
      <c r="AG58" t="inlineStr"/>
      <c r="AH58" t="inlineStr"/>
      <c r="A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N59*1.18</f>
        <v/>
      </c>
      <c r="P59" t="inlineStr"/>
      <c r="Q59">
        <f>P59*Z59</f>
        <v/>
      </c>
      <c r="R59" t="inlineStr"/>
      <c r="S59" t="inlineStr"/>
      <c r="T59" t="inlineStr"/>
      <c r="U59">
        <f>S59-T59</f>
        <v/>
      </c>
      <c r="V59">
        <f>IFERROR(S59/O59,"")</f>
        <v/>
      </c>
      <c r="W59">
        <f>IFERROR(T59/S59,"")</f>
        <v/>
      </c>
      <c r="X59">
        <f>IFERROR(Z59/MAX(0.0001,((TODAY()-AB59)/(AC59-AB59))),"")</f>
        <v/>
      </c>
      <c r="Y59">
        <f>IFERROR(Q59/R59,"")</f>
        <v/>
      </c>
      <c r="Z59" t="inlineStr"/>
      <c r="AA59" t="inlineStr"/>
      <c r="AB59" t="inlineStr"/>
      <c r="AC59" t="inlineStr"/>
      <c r="AD59" t="inlineStr"/>
      <c r="AE59" t="inlineStr"/>
      <c r="AF59">
        <f>IF(OR(X59&lt;0.8,Y59&lt;0.8,ISNUMBER(SEARCH("critique",AG59))),"Rouge",IF(OR(AND(X59&gt;=0.8,X59&lt;=0.94),AND(Y59&gt;=0.8,Y59&lt;=0.94)),"Orange",IF(AND(X59&gt;0.95,Y59&gt;0.95),"Vert","Orange")))</f>
        <v/>
      </c>
      <c r="AG59" t="inlineStr"/>
      <c r="AH59" t="inlineStr"/>
      <c r="A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N60*1.18</f>
        <v/>
      </c>
      <c r="P60" t="inlineStr"/>
      <c r="Q60">
        <f>P60*Z60</f>
        <v/>
      </c>
      <c r="R60" t="inlineStr"/>
      <c r="S60" t="inlineStr"/>
      <c r="T60" t="inlineStr"/>
      <c r="U60">
        <f>S60-T60</f>
        <v/>
      </c>
      <c r="V60">
        <f>IFERROR(S60/O60,"")</f>
        <v/>
      </c>
      <c r="W60">
        <f>IFERROR(T60/S60,"")</f>
        <v/>
      </c>
      <c r="X60">
        <f>IFERROR(Z60/MAX(0.0001,((TODAY()-AB60)/(AC60-AB60))),"")</f>
        <v/>
      </c>
      <c r="Y60">
        <f>IFERROR(Q60/R60,"")</f>
        <v/>
      </c>
      <c r="Z60" t="inlineStr"/>
      <c r="AA60" t="inlineStr"/>
      <c r="AB60" t="inlineStr"/>
      <c r="AC60" t="inlineStr"/>
      <c r="AD60" t="inlineStr"/>
      <c r="AE60" t="inlineStr"/>
      <c r="AF60">
        <f>IF(OR(X60&lt;0.8,Y60&lt;0.8,ISNUMBER(SEARCH("critique",AG60))),"Rouge",IF(OR(AND(X60&gt;=0.8,X60&lt;=0.94),AND(Y60&gt;=0.8,Y60&lt;=0.94)),"Orange",IF(AND(X60&gt;0.95,Y60&gt;0.95),"Vert","Orange")))</f>
        <v/>
      </c>
      <c r="AG60" t="inlineStr"/>
      <c r="AH60" t="inlineStr"/>
      <c r="A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N61*1.18</f>
        <v/>
      </c>
      <c r="P61" t="inlineStr"/>
      <c r="Q61">
        <f>P61*Z61</f>
        <v/>
      </c>
      <c r="R61" t="inlineStr"/>
      <c r="S61" t="inlineStr"/>
      <c r="T61" t="inlineStr"/>
      <c r="U61">
        <f>S61-T61</f>
        <v/>
      </c>
      <c r="V61">
        <f>IFERROR(S61/O61,"")</f>
        <v/>
      </c>
      <c r="W61">
        <f>IFERROR(T61/S61,"")</f>
        <v/>
      </c>
      <c r="X61">
        <f>IFERROR(Z61/MAX(0.0001,((TODAY()-AB61)/(AC61-AB61))),"")</f>
        <v/>
      </c>
      <c r="Y61">
        <f>IFERROR(Q61/R61,"")</f>
        <v/>
      </c>
      <c r="Z61" t="inlineStr"/>
      <c r="AA61" t="inlineStr"/>
      <c r="AB61" t="inlineStr"/>
      <c r="AC61" t="inlineStr"/>
      <c r="AD61" t="inlineStr"/>
      <c r="AE61" t="inlineStr"/>
      <c r="AF61">
        <f>IF(OR(X61&lt;0.8,Y61&lt;0.8,ISNUMBER(SEARCH("critique",AG61))),"Rouge",IF(OR(AND(X61&gt;=0.8,X61&lt;=0.94),AND(Y61&gt;=0.8,Y61&lt;=0.94)),"Orange",IF(AND(X61&gt;0.95,Y61&gt;0.95),"Vert","Orange")))</f>
        <v/>
      </c>
      <c r="AG61" t="inlineStr"/>
      <c r="AH61" t="inlineStr"/>
      <c r="A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N62*1.18</f>
        <v/>
      </c>
      <c r="P62" t="inlineStr"/>
      <c r="Q62">
        <f>P62*Z62</f>
        <v/>
      </c>
      <c r="R62" t="inlineStr"/>
      <c r="S62" t="inlineStr"/>
      <c r="T62" t="inlineStr"/>
      <c r="U62">
        <f>S62-T62</f>
        <v/>
      </c>
      <c r="V62">
        <f>IFERROR(S62/O62,"")</f>
        <v/>
      </c>
      <c r="W62">
        <f>IFERROR(T62/S62,"")</f>
        <v/>
      </c>
      <c r="X62">
        <f>IFERROR(Z62/MAX(0.0001,((TODAY()-AB62)/(AC62-AB62))),"")</f>
        <v/>
      </c>
      <c r="Y62">
        <f>IFERROR(Q62/R62,"")</f>
        <v/>
      </c>
      <c r="Z62" t="inlineStr"/>
      <c r="AA62" t="inlineStr"/>
      <c r="AB62" t="inlineStr"/>
      <c r="AC62" t="inlineStr"/>
      <c r="AD62" t="inlineStr"/>
      <c r="AE62" t="inlineStr"/>
      <c r="AF62">
        <f>IF(OR(X62&lt;0.8,Y62&lt;0.8,ISNUMBER(SEARCH("critique",AG62))),"Rouge",IF(OR(AND(X62&gt;=0.8,X62&lt;=0.94),AND(Y62&gt;=0.8,Y62&lt;=0.94)),"Orange",IF(AND(X62&gt;0.95,Y62&gt;0.95),"Vert","Orange")))</f>
        <v/>
      </c>
      <c r="AG62" t="inlineStr"/>
      <c r="AH62" t="inlineStr"/>
      <c r="A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N63*1.18</f>
        <v/>
      </c>
      <c r="P63" t="inlineStr"/>
      <c r="Q63">
        <f>P63*Z63</f>
        <v/>
      </c>
      <c r="R63" t="inlineStr"/>
      <c r="S63" t="inlineStr"/>
      <c r="T63" t="inlineStr"/>
      <c r="U63">
        <f>S63-T63</f>
        <v/>
      </c>
      <c r="V63">
        <f>IFERROR(S63/O63,"")</f>
        <v/>
      </c>
      <c r="W63">
        <f>IFERROR(T63/S63,"")</f>
        <v/>
      </c>
      <c r="X63">
        <f>IFERROR(Z63/MAX(0.0001,((TODAY()-AB63)/(AC63-AB63))),"")</f>
        <v/>
      </c>
      <c r="Y63">
        <f>IFERROR(Q63/R63,"")</f>
        <v/>
      </c>
      <c r="Z63" t="inlineStr"/>
      <c r="AA63" t="inlineStr"/>
      <c r="AB63" t="inlineStr"/>
      <c r="AC63" t="inlineStr"/>
      <c r="AD63" t="inlineStr"/>
      <c r="AE63" t="inlineStr"/>
      <c r="AF63">
        <f>IF(OR(X63&lt;0.8,Y63&lt;0.8,ISNUMBER(SEARCH("critique",AG63))),"Rouge",IF(OR(AND(X63&gt;=0.8,X63&lt;=0.94),AND(Y63&gt;=0.8,Y63&lt;=0.94)),"Orange",IF(AND(X63&gt;0.95,Y63&gt;0.95),"Vert","Orange")))</f>
        <v/>
      </c>
      <c r="AG63" t="inlineStr"/>
      <c r="AH63" t="inlineStr"/>
      <c r="A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N64*1.18</f>
        <v/>
      </c>
      <c r="P64" t="inlineStr"/>
      <c r="Q64">
        <f>P64*Z64</f>
        <v/>
      </c>
      <c r="R64" t="inlineStr"/>
      <c r="S64" t="inlineStr"/>
      <c r="T64" t="inlineStr"/>
      <c r="U64">
        <f>S64-T64</f>
        <v/>
      </c>
      <c r="V64">
        <f>IFERROR(S64/O64,"")</f>
        <v/>
      </c>
      <c r="W64">
        <f>IFERROR(T64/S64,"")</f>
        <v/>
      </c>
      <c r="X64">
        <f>IFERROR(Z64/MAX(0.0001,((TODAY()-AB64)/(AC64-AB64))),"")</f>
        <v/>
      </c>
      <c r="Y64">
        <f>IFERROR(Q64/R64,"")</f>
        <v/>
      </c>
      <c r="Z64" t="inlineStr"/>
      <c r="AA64" t="inlineStr"/>
      <c r="AB64" t="inlineStr"/>
      <c r="AC64" t="inlineStr"/>
      <c r="AD64" t="inlineStr"/>
      <c r="AE64" t="inlineStr"/>
      <c r="AF64">
        <f>IF(OR(X64&lt;0.8,Y64&lt;0.8,ISNUMBER(SEARCH("critique",AG64))),"Rouge",IF(OR(AND(X64&gt;=0.8,X64&lt;=0.94),AND(Y64&gt;=0.8,Y64&lt;=0.94)),"Orange",IF(AND(X64&gt;0.95,Y64&gt;0.95),"Vert","Orange")))</f>
        <v/>
      </c>
      <c r="AG64" t="inlineStr"/>
      <c r="AH64" t="inlineStr"/>
      <c r="A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N65*1.18</f>
        <v/>
      </c>
      <c r="P65" t="inlineStr"/>
      <c r="Q65">
        <f>P65*Z65</f>
        <v/>
      </c>
      <c r="R65" t="inlineStr"/>
      <c r="S65" t="inlineStr"/>
      <c r="T65" t="inlineStr"/>
      <c r="U65">
        <f>S65-T65</f>
        <v/>
      </c>
      <c r="V65">
        <f>IFERROR(S65/O65,"")</f>
        <v/>
      </c>
      <c r="W65">
        <f>IFERROR(T65/S65,"")</f>
        <v/>
      </c>
      <c r="X65">
        <f>IFERROR(Z65/MAX(0.0001,((TODAY()-AB65)/(AC65-AB65))),"")</f>
        <v/>
      </c>
      <c r="Y65">
        <f>IFERROR(Q65/R65,"")</f>
        <v/>
      </c>
      <c r="Z65" t="inlineStr"/>
      <c r="AA65" t="inlineStr"/>
      <c r="AB65" t="inlineStr"/>
      <c r="AC65" t="inlineStr"/>
      <c r="AD65" t="inlineStr"/>
      <c r="AE65" t="inlineStr"/>
      <c r="AF65">
        <f>IF(OR(X65&lt;0.8,Y65&lt;0.8,ISNUMBER(SEARCH("critique",AG65))),"Rouge",IF(OR(AND(X65&gt;=0.8,X65&lt;=0.94),AND(Y65&gt;=0.8,Y65&lt;=0.94)),"Orange",IF(AND(X65&gt;0.95,Y65&gt;0.95),"Vert","Orange")))</f>
        <v/>
      </c>
      <c r="AG65" t="inlineStr"/>
      <c r="AH65" t="inlineStr"/>
      <c r="A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N66*1.18</f>
        <v/>
      </c>
      <c r="P66" t="inlineStr"/>
      <c r="Q66">
        <f>P66*Z66</f>
        <v/>
      </c>
      <c r="R66" t="inlineStr"/>
      <c r="S66" t="inlineStr"/>
      <c r="T66" t="inlineStr"/>
      <c r="U66">
        <f>S66-T66</f>
        <v/>
      </c>
      <c r="V66">
        <f>IFERROR(S66/O66,"")</f>
        <v/>
      </c>
      <c r="W66">
        <f>IFERROR(T66/S66,"")</f>
        <v/>
      </c>
      <c r="X66">
        <f>IFERROR(Z66/MAX(0.0001,((TODAY()-AB66)/(AC66-AB66))),"")</f>
        <v/>
      </c>
      <c r="Y66">
        <f>IFERROR(Q66/R66,"")</f>
        <v/>
      </c>
      <c r="Z66" t="inlineStr"/>
      <c r="AA66" t="inlineStr"/>
      <c r="AB66" t="inlineStr"/>
      <c r="AC66" t="inlineStr"/>
      <c r="AD66" t="inlineStr"/>
      <c r="AE66" t="inlineStr"/>
      <c r="AF66">
        <f>IF(OR(X66&lt;0.8,Y66&lt;0.8,ISNUMBER(SEARCH("critique",AG66))),"Rouge",IF(OR(AND(X66&gt;=0.8,X66&lt;=0.94),AND(Y66&gt;=0.8,Y66&lt;=0.94)),"Orange",IF(AND(X66&gt;0.95,Y66&gt;0.95),"Vert","Orange")))</f>
        <v/>
      </c>
      <c r="AG66" t="inlineStr"/>
      <c r="AH66" t="inlineStr"/>
      <c r="A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N67*1.18</f>
        <v/>
      </c>
      <c r="P67" t="inlineStr"/>
      <c r="Q67">
        <f>P67*Z67</f>
        <v/>
      </c>
      <c r="R67" t="inlineStr"/>
      <c r="S67" t="inlineStr"/>
      <c r="T67" t="inlineStr"/>
      <c r="U67">
        <f>S67-T67</f>
        <v/>
      </c>
      <c r="V67">
        <f>IFERROR(S67/O67,"")</f>
        <v/>
      </c>
      <c r="W67">
        <f>IFERROR(T67/S67,"")</f>
        <v/>
      </c>
      <c r="X67">
        <f>IFERROR(Z67/MAX(0.0001,((TODAY()-AB67)/(AC67-AB67))),"")</f>
        <v/>
      </c>
      <c r="Y67">
        <f>IFERROR(Q67/R67,"")</f>
        <v/>
      </c>
      <c r="Z67" t="inlineStr"/>
      <c r="AA67" t="inlineStr"/>
      <c r="AB67" t="inlineStr"/>
      <c r="AC67" t="inlineStr"/>
      <c r="AD67" t="inlineStr"/>
      <c r="AE67" t="inlineStr"/>
      <c r="AF67">
        <f>IF(OR(X67&lt;0.8,Y67&lt;0.8,ISNUMBER(SEARCH("critique",AG67))),"Rouge",IF(OR(AND(X67&gt;=0.8,X67&lt;=0.94),AND(Y67&gt;=0.8,Y67&lt;=0.94)),"Orange",IF(AND(X67&gt;0.95,Y67&gt;0.95),"Vert","Orange")))</f>
        <v/>
      </c>
      <c r="AG67" t="inlineStr"/>
      <c r="AH67" t="inlineStr"/>
      <c r="A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N68*1.18</f>
        <v/>
      </c>
      <c r="P68" t="inlineStr"/>
      <c r="Q68">
        <f>P68*Z68</f>
        <v/>
      </c>
      <c r="R68" t="inlineStr"/>
      <c r="S68" t="inlineStr"/>
      <c r="T68" t="inlineStr"/>
      <c r="U68">
        <f>S68-T68</f>
        <v/>
      </c>
      <c r="V68">
        <f>IFERROR(S68/O68,"")</f>
        <v/>
      </c>
      <c r="W68">
        <f>IFERROR(T68/S68,"")</f>
        <v/>
      </c>
      <c r="X68">
        <f>IFERROR(Z68/MAX(0.0001,((TODAY()-AB68)/(AC68-AB68))),"")</f>
        <v/>
      </c>
      <c r="Y68">
        <f>IFERROR(Q68/R68,"")</f>
        <v/>
      </c>
      <c r="Z68" t="inlineStr"/>
      <c r="AA68" t="inlineStr"/>
      <c r="AB68" t="inlineStr"/>
      <c r="AC68" t="inlineStr"/>
      <c r="AD68" t="inlineStr"/>
      <c r="AE68" t="inlineStr"/>
      <c r="AF68">
        <f>IF(OR(X68&lt;0.8,Y68&lt;0.8,ISNUMBER(SEARCH("critique",AG68))),"Rouge",IF(OR(AND(X68&gt;=0.8,X68&lt;=0.94),AND(Y68&gt;=0.8,Y68&lt;=0.94)),"Orange",IF(AND(X68&gt;0.95,Y68&gt;0.95),"Vert","Orange")))</f>
        <v/>
      </c>
      <c r="AG68" t="inlineStr"/>
      <c r="AH68" t="inlineStr"/>
      <c r="A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N69*1.18</f>
        <v/>
      </c>
      <c r="P69" t="inlineStr"/>
      <c r="Q69">
        <f>P69*Z69</f>
        <v/>
      </c>
      <c r="R69" t="inlineStr"/>
      <c r="S69" t="inlineStr"/>
      <c r="T69" t="inlineStr"/>
      <c r="U69">
        <f>S69-T69</f>
        <v/>
      </c>
      <c r="V69">
        <f>IFERROR(S69/O69,"")</f>
        <v/>
      </c>
      <c r="W69">
        <f>IFERROR(T69/S69,"")</f>
        <v/>
      </c>
      <c r="X69">
        <f>IFERROR(Z69/MAX(0.0001,((TODAY()-AB69)/(AC69-AB69))),"")</f>
        <v/>
      </c>
      <c r="Y69">
        <f>IFERROR(Q69/R69,"")</f>
        <v/>
      </c>
      <c r="Z69" t="inlineStr"/>
      <c r="AA69" t="inlineStr"/>
      <c r="AB69" t="inlineStr"/>
      <c r="AC69" t="inlineStr"/>
      <c r="AD69" t="inlineStr"/>
      <c r="AE69" t="inlineStr"/>
      <c r="AF69">
        <f>IF(OR(X69&lt;0.8,Y69&lt;0.8,ISNUMBER(SEARCH("critique",AG69))),"Rouge",IF(OR(AND(X69&gt;=0.8,X69&lt;=0.94),AND(Y69&gt;=0.8,Y69&lt;=0.94)),"Orange",IF(AND(X69&gt;0.95,Y69&gt;0.95),"Vert","Orange")))</f>
        <v/>
      </c>
      <c r="AG69" t="inlineStr"/>
      <c r="AH69" t="inlineStr"/>
      <c r="A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N70*1.18</f>
        <v/>
      </c>
      <c r="P70" t="inlineStr"/>
      <c r="Q70">
        <f>P70*Z70</f>
        <v/>
      </c>
      <c r="R70" t="inlineStr"/>
      <c r="S70" t="inlineStr"/>
      <c r="T70" t="inlineStr"/>
      <c r="U70">
        <f>S70-T70</f>
        <v/>
      </c>
      <c r="V70">
        <f>IFERROR(S70/O70,"")</f>
        <v/>
      </c>
      <c r="W70">
        <f>IFERROR(T70/S70,"")</f>
        <v/>
      </c>
      <c r="X70">
        <f>IFERROR(Z70/MAX(0.0001,((TODAY()-AB70)/(AC70-AB70))),"")</f>
        <v/>
      </c>
      <c r="Y70">
        <f>IFERROR(Q70/R70,"")</f>
        <v/>
      </c>
      <c r="Z70" t="inlineStr"/>
      <c r="AA70" t="inlineStr"/>
      <c r="AB70" t="inlineStr"/>
      <c r="AC70" t="inlineStr"/>
      <c r="AD70" t="inlineStr"/>
      <c r="AE70" t="inlineStr"/>
      <c r="AF70">
        <f>IF(OR(X70&lt;0.8,Y70&lt;0.8,ISNUMBER(SEARCH("critique",AG70))),"Rouge",IF(OR(AND(X70&gt;=0.8,X70&lt;=0.94),AND(Y70&gt;=0.8,Y70&lt;=0.94)),"Orange",IF(AND(X70&gt;0.95,Y70&gt;0.95),"Vert","Orange")))</f>
        <v/>
      </c>
      <c r="AG70" t="inlineStr"/>
      <c r="AH70" t="inlineStr"/>
      <c r="A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N71*1.18</f>
        <v/>
      </c>
      <c r="P71" t="inlineStr"/>
      <c r="Q71">
        <f>P71*Z71</f>
        <v/>
      </c>
      <c r="R71" t="inlineStr"/>
      <c r="S71" t="inlineStr"/>
      <c r="T71" t="inlineStr"/>
      <c r="U71">
        <f>S71-T71</f>
        <v/>
      </c>
      <c r="V71">
        <f>IFERROR(S71/O71,"")</f>
        <v/>
      </c>
      <c r="W71">
        <f>IFERROR(T71/S71,"")</f>
        <v/>
      </c>
      <c r="X71">
        <f>IFERROR(Z71/MAX(0.0001,((TODAY()-AB71)/(AC71-AB71))),"")</f>
        <v/>
      </c>
      <c r="Y71">
        <f>IFERROR(Q71/R71,"")</f>
        <v/>
      </c>
      <c r="Z71" t="inlineStr"/>
      <c r="AA71" t="inlineStr"/>
      <c r="AB71" t="inlineStr"/>
      <c r="AC71" t="inlineStr"/>
      <c r="AD71" t="inlineStr"/>
      <c r="AE71" t="inlineStr"/>
      <c r="AF71">
        <f>IF(OR(X71&lt;0.8,Y71&lt;0.8,ISNUMBER(SEARCH("critique",AG71))),"Rouge",IF(OR(AND(X71&gt;=0.8,X71&lt;=0.94),AND(Y71&gt;=0.8,Y71&lt;=0.94)),"Orange",IF(AND(X71&gt;0.95,Y71&gt;0.95),"Vert","Orange")))</f>
        <v/>
      </c>
      <c r="AG71" t="inlineStr"/>
      <c r="AH71" t="inlineStr"/>
      <c r="A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>
        <f>N72*1.18</f>
        <v/>
      </c>
      <c r="P72" t="inlineStr"/>
      <c r="Q72">
        <f>P72*Z72</f>
        <v/>
      </c>
      <c r="R72" t="inlineStr"/>
      <c r="S72" t="inlineStr"/>
      <c r="T72" t="inlineStr"/>
      <c r="U72">
        <f>S72-T72</f>
        <v/>
      </c>
      <c r="V72">
        <f>IFERROR(S72/O72,"")</f>
        <v/>
      </c>
      <c r="W72">
        <f>IFERROR(T72/S72,"")</f>
        <v/>
      </c>
      <c r="X72">
        <f>IFERROR(Z72/MAX(0.0001,((TODAY()-AB72)/(AC72-AB72))),"")</f>
        <v/>
      </c>
      <c r="Y72">
        <f>IFERROR(Q72/R72,"")</f>
        <v/>
      </c>
      <c r="Z72" t="inlineStr"/>
      <c r="AA72" t="inlineStr"/>
      <c r="AB72" t="inlineStr"/>
      <c r="AC72" t="inlineStr"/>
      <c r="AD72" t="inlineStr"/>
      <c r="AE72" t="inlineStr"/>
      <c r="AF72">
        <f>IF(OR(X72&lt;0.8,Y72&lt;0.8,ISNUMBER(SEARCH("critique",AG72))),"Rouge",IF(OR(AND(X72&gt;=0.8,X72&lt;=0.94),AND(Y72&gt;=0.8,Y72&lt;=0.94)),"Orange",IF(AND(X72&gt;0.95,Y72&gt;0.95),"Vert","Orange")))</f>
        <v/>
      </c>
      <c r="AG72" t="inlineStr"/>
      <c r="AH72" t="inlineStr"/>
      <c r="A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>
        <f>N73*1.18</f>
        <v/>
      </c>
      <c r="P73" t="inlineStr"/>
      <c r="Q73">
        <f>P73*Z73</f>
        <v/>
      </c>
      <c r="R73" t="inlineStr"/>
      <c r="S73" t="inlineStr"/>
      <c r="T73" t="inlineStr"/>
      <c r="U73">
        <f>S73-T73</f>
        <v/>
      </c>
      <c r="V73">
        <f>IFERROR(S73/O73,"")</f>
        <v/>
      </c>
      <c r="W73">
        <f>IFERROR(T73/S73,"")</f>
        <v/>
      </c>
      <c r="X73">
        <f>IFERROR(Z73/MAX(0.0001,((TODAY()-AB73)/(AC73-AB73))),"")</f>
        <v/>
      </c>
      <c r="Y73">
        <f>IFERROR(Q73/R73,"")</f>
        <v/>
      </c>
      <c r="Z73" t="inlineStr"/>
      <c r="AA73" t="inlineStr"/>
      <c r="AB73" t="inlineStr"/>
      <c r="AC73" t="inlineStr"/>
      <c r="AD73" t="inlineStr"/>
      <c r="AE73" t="inlineStr"/>
      <c r="AF73">
        <f>IF(OR(X73&lt;0.8,Y73&lt;0.8,ISNUMBER(SEARCH("critique",AG73))),"Rouge",IF(OR(AND(X73&gt;=0.8,X73&lt;=0.94),AND(Y73&gt;=0.8,Y73&lt;=0.94)),"Orange",IF(AND(X73&gt;0.95,Y73&gt;0.95),"Vert","Orange")))</f>
        <v/>
      </c>
      <c r="AG73" t="inlineStr"/>
      <c r="AH73" t="inlineStr"/>
      <c r="A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>
        <f>N74*1.18</f>
        <v/>
      </c>
      <c r="P74" t="inlineStr"/>
      <c r="Q74">
        <f>P74*Z74</f>
        <v/>
      </c>
      <c r="R74" t="inlineStr"/>
      <c r="S74" t="inlineStr"/>
      <c r="T74" t="inlineStr"/>
      <c r="U74">
        <f>S74-T74</f>
        <v/>
      </c>
      <c r="V74">
        <f>IFERROR(S74/O74,"")</f>
        <v/>
      </c>
      <c r="W74">
        <f>IFERROR(T74/S74,"")</f>
        <v/>
      </c>
      <c r="X74">
        <f>IFERROR(Z74/MAX(0.0001,((TODAY()-AB74)/(AC74-AB74))),"")</f>
        <v/>
      </c>
      <c r="Y74">
        <f>IFERROR(Q74/R74,"")</f>
        <v/>
      </c>
      <c r="Z74" t="inlineStr"/>
      <c r="AA74" t="inlineStr"/>
      <c r="AB74" t="inlineStr"/>
      <c r="AC74" t="inlineStr"/>
      <c r="AD74" t="inlineStr"/>
      <c r="AE74" t="inlineStr"/>
      <c r="AF74">
        <f>IF(OR(X74&lt;0.8,Y74&lt;0.8,ISNUMBER(SEARCH("critique",AG74))),"Rouge",IF(OR(AND(X74&gt;=0.8,X74&lt;=0.94),AND(Y74&gt;=0.8,Y74&lt;=0.94)),"Orange",IF(AND(X74&gt;0.95,Y74&gt;0.95),"Vert","Orange")))</f>
        <v/>
      </c>
      <c r="AG74" t="inlineStr"/>
      <c r="AH74" t="inlineStr"/>
      <c r="A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>
        <f>N75*1.18</f>
        <v/>
      </c>
      <c r="P75" t="inlineStr"/>
      <c r="Q75">
        <f>P75*Z75</f>
        <v/>
      </c>
      <c r="R75" t="inlineStr"/>
      <c r="S75" t="inlineStr"/>
      <c r="T75" t="inlineStr"/>
      <c r="U75">
        <f>S75-T75</f>
        <v/>
      </c>
      <c r="V75">
        <f>IFERROR(S75/O75,"")</f>
        <v/>
      </c>
      <c r="W75">
        <f>IFERROR(T75/S75,"")</f>
        <v/>
      </c>
      <c r="X75">
        <f>IFERROR(Z75/MAX(0.0001,((TODAY()-AB75)/(AC75-AB75))),"")</f>
        <v/>
      </c>
      <c r="Y75">
        <f>IFERROR(Q75/R75,"")</f>
        <v/>
      </c>
      <c r="Z75" t="inlineStr"/>
      <c r="AA75" t="inlineStr"/>
      <c r="AB75" t="inlineStr"/>
      <c r="AC75" t="inlineStr"/>
      <c r="AD75" t="inlineStr"/>
      <c r="AE75" t="inlineStr"/>
      <c r="AF75">
        <f>IF(OR(X75&lt;0.8,Y75&lt;0.8,ISNUMBER(SEARCH("critique",AG75))),"Rouge",IF(OR(AND(X75&gt;=0.8,X75&lt;=0.94),AND(Y75&gt;=0.8,Y75&lt;=0.94)),"Orange",IF(AND(X75&gt;0.95,Y75&gt;0.95),"Vert","Orange")))</f>
        <v/>
      </c>
      <c r="AG75" t="inlineStr"/>
      <c r="AH75" t="inlineStr"/>
      <c r="A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>
        <f>N76*1.18</f>
        <v/>
      </c>
      <c r="P76" t="inlineStr"/>
      <c r="Q76">
        <f>P76*Z76</f>
        <v/>
      </c>
      <c r="R76" t="inlineStr"/>
      <c r="S76" t="inlineStr"/>
      <c r="T76" t="inlineStr"/>
      <c r="U76">
        <f>S76-T76</f>
        <v/>
      </c>
      <c r="V76">
        <f>IFERROR(S76/O76,"")</f>
        <v/>
      </c>
      <c r="W76">
        <f>IFERROR(T76/S76,"")</f>
        <v/>
      </c>
      <c r="X76">
        <f>IFERROR(Z76/MAX(0.0001,((TODAY()-AB76)/(AC76-AB76))),"")</f>
        <v/>
      </c>
      <c r="Y76">
        <f>IFERROR(Q76/R76,"")</f>
        <v/>
      </c>
      <c r="Z76" t="inlineStr"/>
      <c r="AA76" t="inlineStr"/>
      <c r="AB76" t="inlineStr"/>
      <c r="AC76" t="inlineStr"/>
      <c r="AD76" t="inlineStr"/>
      <c r="AE76" t="inlineStr"/>
      <c r="AF76">
        <f>IF(OR(X76&lt;0.8,Y76&lt;0.8,ISNUMBER(SEARCH("critique",AG76))),"Rouge",IF(OR(AND(X76&gt;=0.8,X76&lt;=0.94),AND(Y76&gt;=0.8,Y76&lt;=0.94)),"Orange",IF(AND(X76&gt;0.95,Y76&gt;0.95),"Vert","Orange")))</f>
        <v/>
      </c>
      <c r="AG76" t="inlineStr"/>
      <c r="AH76" t="inlineStr"/>
      <c r="A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>
        <f>N77*1.18</f>
        <v/>
      </c>
      <c r="P77" t="inlineStr"/>
      <c r="Q77">
        <f>P77*Z77</f>
        <v/>
      </c>
      <c r="R77" t="inlineStr"/>
      <c r="S77" t="inlineStr"/>
      <c r="T77" t="inlineStr"/>
      <c r="U77">
        <f>S77-T77</f>
        <v/>
      </c>
      <c r="V77">
        <f>IFERROR(S77/O77,"")</f>
        <v/>
      </c>
      <c r="W77">
        <f>IFERROR(T77/S77,"")</f>
        <v/>
      </c>
      <c r="X77">
        <f>IFERROR(Z77/MAX(0.0001,((TODAY()-AB77)/(AC77-AB77))),"")</f>
        <v/>
      </c>
      <c r="Y77">
        <f>IFERROR(Q77/R77,"")</f>
        <v/>
      </c>
      <c r="Z77" t="inlineStr"/>
      <c r="AA77" t="inlineStr"/>
      <c r="AB77" t="inlineStr"/>
      <c r="AC77" t="inlineStr"/>
      <c r="AD77" t="inlineStr"/>
      <c r="AE77" t="inlineStr"/>
      <c r="AF77">
        <f>IF(OR(X77&lt;0.8,Y77&lt;0.8,ISNUMBER(SEARCH("critique",AG77))),"Rouge",IF(OR(AND(X77&gt;=0.8,X77&lt;=0.94),AND(Y77&gt;=0.8,Y77&lt;=0.94)),"Orange",IF(AND(X77&gt;0.95,Y77&gt;0.95),"Vert","Orange")))</f>
        <v/>
      </c>
      <c r="AG77" t="inlineStr"/>
      <c r="AH77" t="inlineStr"/>
      <c r="A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>
        <f>N78*1.18</f>
        <v/>
      </c>
      <c r="P78" t="inlineStr"/>
      <c r="Q78">
        <f>P78*Z78</f>
        <v/>
      </c>
      <c r="R78" t="inlineStr"/>
      <c r="S78" t="inlineStr"/>
      <c r="T78" t="inlineStr"/>
      <c r="U78">
        <f>S78-T78</f>
        <v/>
      </c>
      <c r="V78">
        <f>IFERROR(S78/O78,"")</f>
        <v/>
      </c>
      <c r="W78">
        <f>IFERROR(T78/S78,"")</f>
        <v/>
      </c>
      <c r="X78">
        <f>IFERROR(Z78/MAX(0.0001,((TODAY()-AB78)/(AC78-AB78))),"")</f>
        <v/>
      </c>
      <c r="Y78">
        <f>IFERROR(Q78/R78,"")</f>
        <v/>
      </c>
      <c r="Z78" t="inlineStr"/>
      <c r="AA78" t="inlineStr"/>
      <c r="AB78" t="inlineStr"/>
      <c r="AC78" t="inlineStr"/>
      <c r="AD78" t="inlineStr"/>
      <c r="AE78" t="inlineStr"/>
      <c r="AF78">
        <f>IF(OR(X78&lt;0.8,Y78&lt;0.8,ISNUMBER(SEARCH("critique",AG78))),"Rouge",IF(OR(AND(X78&gt;=0.8,X78&lt;=0.94),AND(Y78&gt;=0.8,Y78&lt;=0.94)),"Orange",IF(AND(X78&gt;0.95,Y78&gt;0.95),"Vert","Orange")))</f>
        <v/>
      </c>
      <c r="AG78" t="inlineStr"/>
      <c r="AH78" t="inlineStr"/>
      <c r="A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>
        <f>N79*1.18</f>
        <v/>
      </c>
      <c r="P79" t="inlineStr"/>
      <c r="Q79">
        <f>P79*Z79</f>
        <v/>
      </c>
      <c r="R79" t="inlineStr"/>
      <c r="S79" t="inlineStr"/>
      <c r="T79" t="inlineStr"/>
      <c r="U79">
        <f>S79-T79</f>
        <v/>
      </c>
      <c r="V79">
        <f>IFERROR(S79/O79,"")</f>
        <v/>
      </c>
      <c r="W79">
        <f>IFERROR(T79/S79,"")</f>
        <v/>
      </c>
      <c r="X79">
        <f>IFERROR(Z79/MAX(0.0001,((TODAY()-AB79)/(AC79-AB79))),"")</f>
        <v/>
      </c>
      <c r="Y79">
        <f>IFERROR(Q79/R79,"")</f>
        <v/>
      </c>
      <c r="Z79" t="inlineStr"/>
      <c r="AA79" t="inlineStr"/>
      <c r="AB79" t="inlineStr"/>
      <c r="AC79" t="inlineStr"/>
      <c r="AD79" t="inlineStr"/>
      <c r="AE79" t="inlineStr"/>
      <c r="AF79">
        <f>IF(OR(X79&lt;0.8,Y79&lt;0.8,ISNUMBER(SEARCH("critique",AG79))),"Rouge",IF(OR(AND(X79&gt;=0.8,X79&lt;=0.94),AND(Y79&gt;=0.8,Y79&lt;=0.94)),"Orange",IF(AND(X79&gt;0.95,Y79&gt;0.95),"Vert","Orange")))</f>
        <v/>
      </c>
      <c r="AG79" t="inlineStr"/>
      <c r="AH79" t="inlineStr"/>
      <c r="A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>
        <f>N80*1.18</f>
        <v/>
      </c>
      <c r="P80" t="inlineStr"/>
      <c r="Q80">
        <f>P80*Z80</f>
        <v/>
      </c>
      <c r="R80" t="inlineStr"/>
      <c r="S80" t="inlineStr"/>
      <c r="T80" t="inlineStr"/>
      <c r="U80">
        <f>S80-T80</f>
        <v/>
      </c>
      <c r="V80">
        <f>IFERROR(S80/O80,"")</f>
        <v/>
      </c>
      <c r="W80">
        <f>IFERROR(T80/S80,"")</f>
        <v/>
      </c>
      <c r="X80">
        <f>IFERROR(Z80/MAX(0.0001,((TODAY()-AB80)/(AC80-AB80))),"")</f>
        <v/>
      </c>
      <c r="Y80">
        <f>IFERROR(Q80/R80,"")</f>
        <v/>
      </c>
      <c r="Z80" t="inlineStr"/>
      <c r="AA80" t="inlineStr"/>
      <c r="AB80" t="inlineStr"/>
      <c r="AC80" t="inlineStr"/>
      <c r="AD80" t="inlineStr"/>
      <c r="AE80" t="inlineStr"/>
      <c r="AF80">
        <f>IF(OR(X80&lt;0.8,Y80&lt;0.8,ISNUMBER(SEARCH("critique",AG80))),"Rouge",IF(OR(AND(X80&gt;=0.8,X80&lt;=0.94),AND(Y80&gt;=0.8,Y80&lt;=0.94)),"Orange",IF(AND(X80&gt;0.95,Y80&gt;0.95),"Vert","Orange")))</f>
        <v/>
      </c>
      <c r="AG80" t="inlineStr"/>
      <c r="AH80" t="inlineStr"/>
      <c r="A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>
        <f>N81*1.18</f>
        <v/>
      </c>
      <c r="P81" t="inlineStr"/>
      <c r="Q81">
        <f>P81*Z81</f>
        <v/>
      </c>
      <c r="R81" t="inlineStr"/>
      <c r="S81" t="inlineStr"/>
      <c r="T81" t="inlineStr"/>
      <c r="U81">
        <f>S81-T81</f>
        <v/>
      </c>
      <c r="V81">
        <f>IFERROR(S81/O81,"")</f>
        <v/>
      </c>
      <c r="W81">
        <f>IFERROR(T81/S81,"")</f>
        <v/>
      </c>
      <c r="X81">
        <f>IFERROR(Z81/MAX(0.0001,((TODAY()-AB81)/(AC81-AB81))),"")</f>
        <v/>
      </c>
      <c r="Y81">
        <f>IFERROR(Q81/R81,"")</f>
        <v/>
      </c>
      <c r="Z81" t="inlineStr"/>
      <c r="AA81" t="inlineStr"/>
      <c r="AB81" t="inlineStr"/>
      <c r="AC81" t="inlineStr"/>
      <c r="AD81" t="inlineStr"/>
      <c r="AE81" t="inlineStr"/>
      <c r="AF81">
        <f>IF(OR(X81&lt;0.8,Y81&lt;0.8,ISNUMBER(SEARCH("critique",AG81))),"Rouge",IF(OR(AND(X81&gt;=0.8,X81&lt;=0.94),AND(Y81&gt;=0.8,Y81&lt;=0.94)),"Orange",IF(AND(X81&gt;0.95,Y81&gt;0.95),"Vert","Orange")))</f>
        <v/>
      </c>
      <c r="AG81" t="inlineStr"/>
      <c r="AH81" t="inlineStr"/>
      <c r="A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>
        <f>N82*1.18</f>
        <v/>
      </c>
      <c r="P82" t="inlineStr"/>
      <c r="Q82">
        <f>P82*Z82</f>
        <v/>
      </c>
      <c r="R82" t="inlineStr"/>
      <c r="S82" t="inlineStr"/>
      <c r="T82" t="inlineStr"/>
      <c r="U82">
        <f>S82-T82</f>
        <v/>
      </c>
      <c r="V82">
        <f>IFERROR(S82/O82,"")</f>
        <v/>
      </c>
      <c r="W82">
        <f>IFERROR(T82/S82,"")</f>
        <v/>
      </c>
      <c r="X82">
        <f>IFERROR(Z82/MAX(0.0001,((TODAY()-AB82)/(AC82-AB82))),"")</f>
        <v/>
      </c>
      <c r="Y82">
        <f>IFERROR(Q82/R82,"")</f>
        <v/>
      </c>
      <c r="Z82" t="inlineStr"/>
      <c r="AA82" t="inlineStr"/>
      <c r="AB82" t="inlineStr"/>
      <c r="AC82" t="inlineStr"/>
      <c r="AD82" t="inlineStr"/>
      <c r="AE82" t="inlineStr"/>
      <c r="AF82">
        <f>IF(OR(X82&lt;0.8,Y82&lt;0.8,ISNUMBER(SEARCH("critique",AG82))),"Rouge",IF(OR(AND(X82&gt;=0.8,X82&lt;=0.94),AND(Y82&gt;=0.8,Y82&lt;=0.94)),"Orange",IF(AND(X82&gt;0.95,Y82&gt;0.95),"Vert","Orange")))</f>
        <v/>
      </c>
      <c r="AG82" t="inlineStr"/>
      <c r="AH82" t="inlineStr"/>
      <c r="A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>
        <f>N83*1.18</f>
        <v/>
      </c>
      <c r="P83" t="inlineStr"/>
      <c r="Q83">
        <f>P83*Z83</f>
        <v/>
      </c>
      <c r="R83" t="inlineStr"/>
      <c r="S83" t="inlineStr"/>
      <c r="T83" t="inlineStr"/>
      <c r="U83">
        <f>S83-T83</f>
        <v/>
      </c>
      <c r="V83">
        <f>IFERROR(S83/O83,"")</f>
        <v/>
      </c>
      <c r="W83">
        <f>IFERROR(T83/S83,"")</f>
        <v/>
      </c>
      <c r="X83">
        <f>IFERROR(Z83/MAX(0.0001,((TODAY()-AB83)/(AC83-AB83))),"")</f>
        <v/>
      </c>
      <c r="Y83">
        <f>IFERROR(Q83/R83,"")</f>
        <v/>
      </c>
      <c r="Z83" t="inlineStr"/>
      <c r="AA83" t="inlineStr"/>
      <c r="AB83" t="inlineStr"/>
      <c r="AC83" t="inlineStr"/>
      <c r="AD83" t="inlineStr"/>
      <c r="AE83" t="inlineStr"/>
      <c r="AF83">
        <f>IF(OR(X83&lt;0.8,Y83&lt;0.8,ISNUMBER(SEARCH("critique",AG83))),"Rouge",IF(OR(AND(X83&gt;=0.8,X83&lt;=0.94),AND(Y83&gt;=0.8,Y83&lt;=0.94)),"Orange",IF(AND(X83&gt;0.95,Y83&gt;0.95),"Vert","Orange")))</f>
        <v/>
      </c>
      <c r="AG83" t="inlineStr"/>
      <c r="AH83" t="inlineStr"/>
      <c r="A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>
        <f>N84*1.18</f>
        <v/>
      </c>
      <c r="P84" t="inlineStr"/>
      <c r="Q84">
        <f>P84*Z84</f>
        <v/>
      </c>
      <c r="R84" t="inlineStr"/>
      <c r="S84" t="inlineStr"/>
      <c r="T84" t="inlineStr"/>
      <c r="U84">
        <f>S84-T84</f>
        <v/>
      </c>
      <c r="V84">
        <f>IFERROR(S84/O84,"")</f>
        <v/>
      </c>
      <c r="W84">
        <f>IFERROR(T84/S84,"")</f>
        <v/>
      </c>
      <c r="X84">
        <f>IFERROR(Z84/MAX(0.0001,((TODAY()-AB84)/(AC84-AB84))),"")</f>
        <v/>
      </c>
      <c r="Y84">
        <f>IFERROR(Q84/R84,"")</f>
        <v/>
      </c>
      <c r="Z84" t="inlineStr"/>
      <c r="AA84" t="inlineStr"/>
      <c r="AB84" t="inlineStr"/>
      <c r="AC84" t="inlineStr"/>
      <c r="AD84" t="inlineStr"/>
      <c r="AE84" t="inlineStr"/>
      <c r="AF84">
        <f>IF(OR(X84&lt;0.8,Y84&lt;0.8,ISNUMBER(SEARCH("critique",AG84))),"Rouge",IF(OR(AND(X84&gt;=0.8,X84&lt;=0.94),AND(Y84&gt;=0.8,Y84&lt;=0.94)),"Orange",IF(AND(X84&gt;0.95,Y84&gt;0.95),"Vert","Orange")))</f>
        <v/>
      </c>
      <c r="AG84" t="inlineStr"/>
      <c r="AH84" t="inlineStr"/>
      <c r="A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>
        <f>N85*1.18</f>
        <v/>
      </c>
      <c r="P85" t="inlineStr"/>
      <c r="Q85">
        <f>P85*Z85</f>
        <v/>
      </c>
      <c r="R85" t="inlineStr"/>
      <c r="S85" t="inlineStr"/>
      <c r="T85" t="inlineStr"/>
      <c r="U85">
        <f>S85-T85</f>
        <v/>
      </c>
      <c r="V85">
        <f>IFERROR(S85/O85,"")</f>
        <v/>
      </c>
      <c r="W85">
        <f>IFERROR(T85/S85,"")</f>
        <v/>
      </c>
      <c r="X85">
        <f>IFERROR(Z85/MAX(0.0001,((TODAY()-AB85)/(AC85-AB85))),"")</f>
        <v/>
      </c>
      <c r="Y85">
        <f>IFERROR(Q85/R85,"")</f>
        <v/>
      </c>
      <c r="Z85" t="inlineStr"/>
      <c r="AA85" t="inlineStr"/>
      <c r="AB85" t="inlineStr"/>
      <c r="AC85" t="inlineStr"/>
      <c r="AD85" t="inlineStr"/>
      <c r="AE85" t="inlineStr"/>
      <c r="AF85">
        <f>IF(OR(X85&lt;0.8,Y85&lt;0.8,ISNUMBER(SEARCH("critique",AG85))),"Rouge",IF(OR(AND(X85&gt;=0.8,X85&lt;=0.94),AND(Y85&gt;=0.8,Y85&lt;=0.94)),"Orange",IF(AND(X85&gt;0.95,Y85&gt;0.95),"Vert","Orange")))</f>
        <v/>
      </c>
      <c r="AG85" t="inlineStr"/>
      <c r="AH85" t="inlineStr"/>
      <c r="A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>
        <f>N86*1.18</f>
        <v/>
      </c>
      <c r="P86" t="inlineStr"/>
      <c r="Q86">
        <f>P86*Z86</f>
        <v/>
      </c>
      <c r="R86" t="inlineStr"/>
      <c r="S86" t="inlineStr"/>
      <c r="T86" t="inlineStr"/>
      <c r="U86">
        <f>S86-T86</f>
        <v/>
      </c>
      <c r="V86">
        <f>IFERROR(S86/O86,"")</f>
        <v/>
      </c>
      <c r="W86">
        <f>IFERROR(T86/S86,"")</f>
        <v/>
      </c>
      <c r="X86">
        <f>IFERROR(Z86/MAX(0.0001,((TODAY()-AB86)/(AC86-AB86))),"")</f>
        <v/>
      </c>
      <c r="Y86">
        <f>IFERROR(Q86/R86,"")</f>
        <v/>
      </c>
      <c r="Z86" t="inlineStr"/>
      <c r="AA86" t="inlineStr"/>
      <c r="AB86" t="inlineStr"/>
      <c r="AC86" t="inlineStr"/>
      <c r="AD86" t="inlineStr"/>
      <c r="AE86" t="inlineStr"/>
      <c r="AF86">
        <f>IF(OR(X86&lt;0.8,Y86&lt;0.8,ISNUMBER(SEARCH("critique",AG86))),"Rouge",IF(OR(AND(X86&gt;=0.8,X86&lt;=0.94),AND(Y86&gt;=0.8,Y86&lt;=0.94)),"Orange",IF(AND(X86&gt;0.95,Y86&gt;0.95),"Vert","Orange")))</f>
        <v/>
      </c>
      <c r="AG86" t="inlineStr"/>
      <c r="AH86" t="inlineStr"/>
      <c r="A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>
        <f>N87*1.18</f>
        <v/>
      </c>
      <c r="P87" t="inlineStr"/>
      <c r="Q87">
        <f>P87*Z87</f>
        <v/>
      </c>
      <c r="R87" t="inlineStr"/>
      <c r="S87" t="inlineStr"/>
      <c r="T87" t="inlineStr"/>
      <c r="U87">
        <f>S87-T87</f>
        <v/>
      </c>
      <c r="V87">
        <f>IFERROR(S87/O87,"")</f>
        <v/>
      </c>
      <c r="W87">
        <f>IFERROR(T87/S87,"")</f>
        <v/>
      </c>
      <c r="X87">
        <f>IFERROR(Z87/MAX(0.0001,((TODAY()-AB87)/(AC87-AB87))),"")</f>
        <v/>
      </c>
      <c r="Y87">
        <f>IFERROR(Q87/R87,"")</f>
        <v/>
      </c>
      <c r="Z87" t="inlineStr"/>
      <c r="AA87" t="inlineStr"/>
      <c r="AB87" t="inlineStr"/>
      <c r="AC87" t="inlineStr"/>
      <c r="AD87" t="inlineStr"/>
      <c r="AE87" t="inlineStr"/>
      <c r="AF87">
        <f>IF(OR(X87&lt;0.8,Y87&lt;0.8,ISNUMBER(SEARCH("critique",AG87))),"Rouge",IF(OR(AND(X87&gt;=0.8,X87&lt;=0.94),AND(Y87&gt;=0.8,Y87&lt;=0.94)),"Orange",IF(AND(X87&gt;0.95,Y87&gt;0.95),"Vert","Orange")))</f>
        <v/>
      </c>
      <c r="AG87" t="inlineStr"/>
      <c r="AH87" t="inlineStr"/>
      <c r="A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>
        <f>N88*1.18</f>
        <v/>
      </c>
      <c r="P88" t="inlineStr"/>
      <c r="Q88">
        <f>P88*Z88</f>
        <v/>
      </c>
      <c r="R88" t="inlineStr"/>
      <c r="S88" t="inlineStr"/>
      <c r="T88" t="inlineStr"/>
      <c r="U88">
        <f>S88-T88</f>
        <v/>
      </c>
      <c r="V88">
        <f>IFERROR(S88/O88,"")</f>
        <v/>
      </c>
      <c r="W88">
        <f>IFERROR(T88/S88,"")</f>
        <v/>
      </c>
      <c r="X88">
        <f>IFERROR(Z88/MAX(0.0001,((TODAY()-AB88)/(AC88-AB88))),"")</f>
        <v/>
      </c>
      <c r="Y88">
        <f>IFERROR(Q88/R88,"")</f>
        <v/>
      </c>
      <c r="Z88" t="inlineStr"/>
      <c r="AA88" t="inlineStr"/>
      <c r="AB88" t="inlineStr"/>
      <c r="AC88" t="inlineStr"/>
      <c r="AD88" t="inlineStr"/>
      <c r="AE88" t="inlineStr"/>
      <c r="AF88">
        <f>IF(OR(X88&lt;0.8,Y88&lt;0.8,ISNUMBER(SEARCH("critique",AG88))),"Rouge",IF(OR(AND(X88&gt;=0.8,X88&lt;=0.94),AND(Y88&gt;=0.8,Y88&lt;=0.94)),"Orange",IF(AND(X88&gt;0.95,Y88&gt;0.95),"Vert","Orange")))</f>
        <v/>
      </c>
      <c r="AG88" t="inlineStr"/>
      <c r="AH88" t="inlineStr"/>
      <c r="A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>
        <f>N89*1.18</f>
        <v/>
      </c>
      <c r="P89" t="inlineStr"/>
      <c r="Q89">
        <f>P89*Z89</f>
        <v/>
      </c>
      <c r="R89" t="inlineStr"/>
      <c r="S89" t="inlineStr"/>
      <c r="T89" t="inlineStr"/>
      <c r="U89">
        <f>S89-T89</f>
        <v/>
      </c>
      <c r="V89">
        <f>IFERROR(S89/O89,"")</f>
        <v/>
      </c>
      <c r="W89">
        <f>IFERROR(T89/S89,"")</f>
        <v/>
      </c>
      <c r="X89">
        <f>IFERROR(Z89/MAX(0.0001,((TODAY()-AB89)/(AC89-AB89))),"")</f>
        <v/>
      </c>
      <c r="Y89">
        <f>IFERROR(Q89/R89,"")</f>
        <v/>
      </c>
      <c r="Z89" t="inlineStr"/>
      <c r="AA89" t="inlineStr"/>
      <c r="AB89" t="inlineStr"/>
      <c r="AC89" t="inlineStr"/>
      <c r="AD89" t="inlineStr"/>
      <c r="AE89" t="inlineStr"/>
      <c r="AF89">
        <f>IF(OR(X89&lt;0.8,Y89&lt;0.8,ISNUMBER(SEARCH("critique",AG89))),"Rouge",IF(OR(AND(X89&gt;=0.8,X89&lt;=0.94),AND(Y89&gt;=0.8,Y89&lt;=0.94)),"Orange",IF(AND(X89&gt;0.95,Y89&gt;0.95),"Vert","Orange")))</f>
        <v/>
      </c>
      <c r="AG89" t="inlineStr"/>
      <c r="AH89" t="inlineStr"/>
      <c r="A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>
        <f>N90*1.18</f>
        <v/>
      </c>
      <c r="P90" t="inlineStr"/>
      <c r="Q90">
        <f>P90*Z90</f>
        <v/>
      </c>
      <c r="R90" t="inlineStr"/>
      <c r="S90" t="inlineStr"/>
      <c r="T90" t="inlineStr"/>
      <c r="U90">
        <f>S90-T90</f>
        <v/>
      </c>
      <c r="V90">
        <f>IFERROR(S90/O90,"")</f>
        <v/>
      </c>
      <c r="W90">
        <f>IFERROR(T90/S90,"")</f>
        <v/>
      </c>
      <c r="X90">
        <f>IFERROR(Z90/MAX(0.0001,((TODAY()-AB90)/(AC90-AB90))),"")</f>
        <v/>
      </c>
      <c r="Y90">
        <f>IFERROR(Q90/R90,"")</f>
        <v/>
      </c>
      <c r="Z90" t="inlineStr"/>
      <c r="AA90" t="inlineStr"/>
      <c r="AB90" t="inlineStr"/>
      <c r="AC90" t="inlineStr"/>
      <c r="AD90" t="inlineStr"/>
      <c r="AE90" t="inlineStr"/>
      <c r="AF90">
        <f>IF(OR(X90&lt;0.8,Y90&lt;0.8,ISNUMBER(SEARCH("critique",AG90))),"Rouge",IF(OR(AND(X90&gt;=0.8,X90&lt;=0.94),AND(Y90&gt;=0.8,Y90&lt;=0.94)),"Orange",IF(AND(X90&gt;0.95,Y90&gt;0.95),"Vert","Orange")))</f>
        <v/>
      </c>
      <c r="AG90" t="inlineStr"/>
      <c r="AH90" t="inlineStr"/>
      <c r="A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>
        <f>N91*1.18</f>
        <v/>
      </c>
      <c r="P91" t="inlineStr"/>
      <c r="Q91">
        <f>P91*Z91</f>
        <v/>
      </c>
      <c r="R91" t="inlineStr"/>
      <c r="S91" t="inlineStr"/>
      <c r="T91" t="inlineStr"/>
      <c r="U91">
        <f>S91-T91</f>
        <v/>
      </c>
      <c r="V91">
        <f>IFERROR(S91/O91,"")</f>
        <v/>
      </c>
      <c r="W91">
        <f>IFERROR(T91/S91,"")</f>
        <v/>
      </c>
      <c r="X91">
        <f>IFERROR(Z91/MAX(0.0001,((TODAY()-AB91)/(AC91-AB91))),"")</f>
        <v/>
      </c>
      <c r="Y91">
        <f>IFERROR(Q91/R91,"")</f>
        <v/>
      </c>
      <c r="Z91" t="inlineStr"/>
      <c r="AA91" t="inlineStr"/>
      <c r="AB91" t="inlineStr"/>
      <c r="AC91" t="inlineStr"/>
      <c r="AD91" t="inlineStr"/>
      <c r="AE91" t="inlineStr"/>
      <c r="AF91">
        <f>IF(OR(X91&lt;0.8,Y91&lt;0.8,ISNUMBER(SEARCH("critique",AG91))),"Rouge",IF(OR(AND(X91&gt;=0.8,X91&lt;=0.94),AND(Y91&gt;=0.8,Y91&lt;=0.94)),"Orange",IF(AND(X91&gt;0.95,Y91&gt;0.95),"Vert","Orange")))</f>
        <v/>
      </c>
      <c r="AG91" t="inlineStr"/>
      <c r="AH91" t="inlineStr"/>
      <c r="A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>
        <f>N92*1.18</f>
        <v/>
      </c>
      <c r="P92" t="inlineStr"/>
      <c r="Q92">
        <f>P92*Z92</f>
        <v/>
      </c>
      <c r="R92" t="inlineStr"/>
      <c r="S92" t="inlineStr"/>
      <c r="T92" t="inlineStr"/>
      <c r="U92">
        <f>S92-T92</f>
        <v/>
      </c>
      <c r="V92">
        <f>IFERROR(S92/O92,"")</f>
        <v/>
      </c>
      <c r="W92">
        <f>IFERROR(T92/S92,"")</f>
        <v/>
      </c>
      <c r="X92">
        <f>IFERROR(Z92/MAX(0.0001,((TODAY()-AB92)/(AC92-AB92))),"")</f>
        <v/>
      </c>
      <c r="Y92">
        <f>IFERROR(Q92/R92,"")</f>
        <v/>
      </c>
      <c r="Z92" t="inlineStr"/>
      <c r="AA92" t="inlineStr"/>
      <c r="AB92" t="inlineStr"/>
      <c r="AC92" t="inlineStr"/>
      <c r="AD92" t="inlineStr"/>
      <c r="AE92" t="inlineStr"/>
      <c r="AF92">
        <f>IF(OR(X92&lt;0.8,Y92&lt;0.8,ISNUMBER(SEARCH("critique",AG92))),"Rouge",IF(OR(AND(X92&gt;=0.8,X92&lt;=0.94),AND(Y92&gt;=0.8,Y92&lt;=0.94)),"Orange",IF(AND(X92&gt;0.95,Y92&gt;0.95),"Vert","Orange")))</f>
        <v/>
      </c>
      <c r="AG92" t="inlineStr"/>
      <c r="AH92" t="inlineStr"/>
      <c r="A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>
        <f>N93*1.18</f>
        <v/>
      </c>
      <c r="P93" t="inlineStr"/>
      <c r="Q93">
        <f>P93*Z93</f>
        <v/>
      </c>
      <c r="R93" t="inlineStr"/>
      <c r="S93" t="inlineStr"/>
      <c r="T93" t="inlineStr"/>
      <c r="U93">
        <f>S93-T93</f>
        <v/>
      </c>
      <c r="V93">
        <f>IFERROR(S93/O93,"")</f>
        <v/>
      </c>
      <c r="W93">
        <f>IFERROR(T93/S93,"")</f>
        <v/>
      </c>
      <c r="X93">
        <f>IFERROR(Z93/MAX(0.0001,((TODAY()-AB93)/(AC93-AB93))),"")</f>
        <v/>
      </c>
      <c r="Y93">
        <f>IFERROR(Q93/R93,"")</f>
        <v/>
      </c>
      <c r="Z93" t="inlineStr"/>
      <c r="AA93" t="inlineStr"/>
      <c r="AB93" t="inlineStr"/>
      <c r="AC93" t="inlineStr"/>
      <c r="AD93" t="inlineStr"/>
      <c r="AE93" t="inlineStr"/>
      <c r="AF93">
        <f>IF(OR(X93&lt;0.8,Y93&lt;0.8,ISNUMBER(SEARCH("critique",AG93))),"Rouge",IF(OR(AND(X93&gt;=0.8,X93&lt;=0.94),AND(Y93&gt;=0.8,Y93&lt;=0.94)),"Orange",IF(AND(X93&gt;0.95,Y93&gt;0.95),"Vert","Orange")))</f>
        <v/>
      </c>
      <c r="AG93" t="inlineStr"/>
      <c r="AH93" t="inlineStr"/>
      <c r="A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>
        <f>N94*1.18</f>
        <v/>
      </c>
      <c r="P94" t="inlineStr"/>
      <c r="Q94">
        <f>P94*Z94</f>
        <v/>
      </c>
      <c r="R94" t="inlineStr"/>
      <c r="S94" t="inlineStr"/>
      <c r="T94" t="inlineStr"/>
      <c r="U94">
        <f>S94-T94</f>
        <v/>
      </c>
      <c r="V94">
        <f>IFERROR(S94/O94,"")</f>
        <v/>
      </c>
      <c r="W94">
        <f>IFERROR(T94/S94,"")</f>
        <v/>
      </c>
      <c r="X94">
        <f>IFERROR(Z94/MAX(0.0001,((TODAY()-AB94)/(AC94-AB94))),"")</f>
        <v/>
      </c>
      <c r="Y94">
        <f>IFERROR(Q94/R94,"")</f>
        <v/>
      </c>
      <c r="Z94" t="inlineStr"/>
      <c r="AA94" t="inlineStr"/>
      <c r="AB94" t="inlineStr"/>
      <c r="AC94" t="inlineStr"/>
      <c r="AD94" t="inlineStr"/>
      <c r="AE94" t="inlineStr"/>
      <c r="AF94">
        <f>IF(OR(X94&lt;0.8,Y94&lt;0.8,ISNUMBER(SEARCH("critique",AG94))),"Rouge",IF(OR(AND(X94&gt;=0.8,X94&lt;=0.94),AND(Y94&gt;=0.8,Y94&lt;=0.94)),"Orange",IF(AND(X94&gt;0.95,Y94&gt;0.95),"Vert","Orange")))</f>
        <v/>
      </c>
      <c r="AG94" t="inlineStr"/>
      <c r="AH94" t="inlineStr"/>
      <c r="A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>
        <f>N95*1.18</f>
        <v/>
      </c>
      <c r="P95" t="inlineStr"/>
      <c r="Q95">
        <f>P95*Z95</f>
        <v/>
      </c>
      <c r="R95" t="inlineStr"/>
      <c r="S95" t="inlineStr"/>
      <c r="T95" t="inlineStr"/>
      <c r="U95">
        <f>S95-T95</f>
        <v/>
      </c>
      <c r="V95">
        <f>IFERROR(S95/O95,"")</f>
        <v/>
      </c>
      <c r="W95">
        <f>IFERROR(T95/S95,"")</f>
        <v/>
      </c>
      <c r="X95">
        <f>IFERROR(Z95/MAX(0.0001,((TODAY()-AB95)/(AC95-AB95))),"")</f>
        <v/>
      </c>
      <c r="Y95">
        <f>IFERROR(Q95/R95,"")</f>
        <v/>
      </c>
      <c r="Z95" t="inlineStr"/>
      <c r="AA95" t="inlineStr"/>
      <c r="AB95" t="inlineStr"/>
      <c r="AC95" t="inlineStr"/>
      <c r="AD95" t="inlineStr"/>
      <c r="AE95" t="inlineStr"/>
      <c r="AF95">
        <f>IF(OR(X95&lt;0.8,Y95&lt;0.8,ISNUMBER(SEARCH("critique",AG95))),"Rouge",IF(OR(AND(X95&gt;=0.8,X95&lt;=0.94),AND(Y95&gt;=0.8,Y95&lt;=0.94)),"Orange",IF(AND(X95&gt;0.95,Y95&gt;0.95),"Vert","Orange")))</f>
        <v/>
      </c>
      <c r="AG95" t="inlineStr"/>
      <c r="AH95" t="inlineStr"/>
      <c r="A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>
        <f>N96*1.18</f>
        <v/>
      </c>
      <c r="P96" t="inlineStr"/>
      <c r="Q96">
        <f>P96*Z96</f>
        <v/>
      </c>
      <c r="R96" t="inlineStr"/>
      <c r="S96" t="inlineStr"/>
      <c r="T96" t="inlineStr"/>
      <c r="U96">
        <f>S96-T96</f>
        <v/>
      </c>
      <c r="V96">
        <f>IFERROR(S96/O96,"")</f>
        <v/>
      </c>
      <c r="W96">
        <f>IFERROR(T96/S96,"")</f>
        <v/>
      </c>
      <c r="X96">
        <f>IFERROR(Z96/MAX(0.0001,((TODAY()-AB96)/(AC96-AB96))),"")</f>
        <v/>
      </c>
      <c r="Y96">
        <f>IFERROR(Q96/R96,"")</f>
        <v/>
      </c>
      <c r="Z96" t="inlineStr"/>
      <c r="AA96" t="inlineStr"/>
      <c r="AB96" t="inlineStr"/>
      <c r="AC96" t="inlineStr"/>
      <c r="AD96" t="inlineStr"/>
      <c r="AE96" t="inlineStr"/>
      <c r="AF96">
        <f>IF(OR(X96&lt;0.8,Y96&lt;0.8,ISNUMBER(SEARCH("critique",AG96))),"Rouge",IF(OR(AND(X96&gt;=0.8,X96&lt;=0.94),AND(Y96&gt;=0.8,Y96&lt;=0.94)),"Orange",IF(AND(X96&gt;0.95,Y96&gt;0.95),"Vert","Orange")))</f>
        <v/>
      </c>
      <c r="AG96" t="inlineStr"/>
      <c r="AH96" t="inlineStr"/>
      <c r="A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>
        <f>N97*1.18</f>
        <v/>
      </c>
      <c r="P97" t="inlineStr"/>
      <c r="Q97">
        <f>P97*Z97</f>
        <v/>
      </c>
      <c r="R97" t="inlineStr"/>
      <c r="S97" t="inlineStr"/>
      <c r="T97" t="inlineStr"/>
      <c r="U97">
        <f>S97-T97</f>
        <v/>
      </c>
      <c r="V97">
        <f>IFERROR(S97/O97,"")</f>
        <v/>
      </c>
      <c r="W97">
        <f>IFERROR(T97/S97,"")</f>
        <v/>
      </c>
      <c r="X97">
        <f>IFERROR(Z97/MAX(0.0001,((TODAY()-AB97)/(AC97-AB97))),"")</f>
        <v/>
      </c>
      <c r="Y97">
        <f>IFERROR(Q97/R97,"")</f>
        <v/>
      </c>
      <c r="Z97" t="inlineStr"/>
      <c r="AA97" t="inlineStr"/>
      <c r="AB97" t="inlineStr"/>
      <c r="AC97" t="inlineStr"/>
      <c r="AD97" t="inlineStr"/>
      <c r="AE97" t="inlineStr"/>
      <c r="AF97">
        <f>IF(OR(X97&lt;0.8,Y97&lt;0.8,ISNUMBER(SEARCH("critique",AG97))),"Rouge",IF(OR(AND(X97&gt;=0.8,X97&lt;=0.94),AND(Y97&gt;=0.8,Y97&lt;=0.94)),"Orange",IF(AND(X97&gt;0.95,Y97&gt;0.95),"Vert","Orange")))</f>
        <v/>
      </c>
      <c r="AG97" t="inlineStr"/>
      <c r="AH97" t="inlineStr"/>
      <c r="A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>
        <f>N98*1.18</f>
        <v/>
      </c>
      <c r="P98" t="inlineStr"/>
      <c r="Q98">
        <f>P98*Z98</f>
        <v/>
      </c>
      <c r="R98" t="inlineStr"/>
      <c r="S98" t="inlineStr"/>
      <c r="T98" t="inlineStr"/>
      <c r="U98">
        <f>S98-T98</f>
        <v/>
      </c>
      <c r="V98">
        <f>IFERROR(S98/O98,"")</f>
        <v/>
      </c>
      <c r="W98">
        <f>IFERROR(T98/S98,"")</f>
        <v/>
      </c>
      <c r="X98">
        <f>IFERROR(Z98/MAX(0.0001,((TODAY()-AB98)/(AC98-AB98))),"")</f>
        <v/>
      </c>
      <c r="Y98">
        <f>IFERROR(Q98/R98,"")</f>
        <v/>
      </c>
      <c r="Z98" t="inlineStr"/>
      <c r="AA98" t="inlineStr"/>
      <c r="AB98" t="inlineStr"/>
      <c r="AC98" t="inlineStr"/>
      <c r="AD98" t="inlineStr"/>
      <c r="AE98" t="inlineStr"/>
      <c r="AF98">
        <f>IF(OR(X98&lt;0.8,Y98&lt;0.8,ISNUMBER(SEARCH("critique",AG98))),"Rouge",IF(OR(AND(X98&gt;=0.8,X98&lt;=0.94),AND(Y98&gt;=0.8,Y98&lt;=0.94)),"Orange",IF(AND(X98&gt;0.95,Y98&gt;0.95),"Vert","Orange")))</f>
        <v/>
      </c>
      <c r="AG98" t="inlineStr"/>
      <c r="AH98" t="inlineStr"/>
      <c r="A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>
        <f>N99*1.18</f>
        <v/>
      </c>
      <c r="P99" t="inlineStr"/>
      <c r="Q99">
        <f>P99*Z99</f>
        <v/>
      </c>
      <c r="R99" t="inlineStr"/>
      <c r="S99" t="inlineStr"/>
      <c r="T99" t="inlineStr"/>
      <c r="U99">
        <f>S99-T99</f>
        <v/>
      </c>
      <c r="V99">
        <f>IFERROR(S99/O99,"")</f>
        <v/>
      </c>
      <c r="W99">
        <f>IFERROR(T99/S99,"")</f>
        <v/>
      </c>
      <c r="X99">
        <f>IFERROR(Z99/MAX(0.0001,((TODAY()-AB99)/(AC99-AB99))),"")</f>
        <v/>
      </c>
      <c r="Y99">
        <f>IFERROR(Q99/R99,"")</f>
        <v/>
      </c>
      <c r="Z99" t="inlineStr"/>
      <c r="AA99" t="inlineStr"/>
      <c r="AB99" t="inlineStr"/>
      <c r="AC99" t="inlineStr"/>
      <c r="AD99" t="inlineStr"/>
      <c r="AE99" t="inlineStr"/>
      <c r="AF99">
        <f>IF(OR(X99&lt;0.8,Y99&lt;0.8,ISNUMBER(SEARCH("critique",AG99))),"Rouge",IF(OR(AND(X99&gt;=0.8,X99&lt;=0.94),AND(Y99&gt;=0.8,Y99&lt;=0.94)),"Orange",IF(AND(X99&gt;0.95,Y99&gt;0.95),"Vert","Orange")))</f>
        <v/>
      </c>
      <c r="AG99" t="inlineStr"/>
      <c r="AH99" t="inlineStr"/>
      <c r="A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>
        <f>N100*1.18</f>
        <v/>
      </c>
      <c r="P100" t="inlineStr"/>
      <c r="Q100">
        <f>P100*Z100</f>
        <v/>
      </c>
      <c r="R100" t="inlineStr"/>
      <c r="S100" t="inlineStr"/>
      <c r="T100" t="inlineStr"/>
      <c r="U100">
        <f>S100-T100</f>
        <v/>
      </c>
      <c r="V100">
        <f>IFERROR(S100/O100,"")</f>
        <v/>
      </c>
      <c r="W100">
        <f>IFERROR(T100/S100,"")</f>
        <v/>
      </c>
      <c r="X100">
        <f>IFERROR(Z100/MAX(0.0001,((TODAY()-AB100)/(AC100-AB100))),"")</f>
        <v/>
      </c>
      <c r="Y100">
        <f>IFERROR(Q100/R100,"")</f>
        <v/>
      </c>
      <c r="Z100" t="inlineStr"/>
      <c r="AA100" t="inlineStr"/>
      <c r="AB100" t="inlineStr"/>
      <c r="AC100" t="inlineStr"/>
      <c r="AD100" t="inlineStr"/>
      <c r="AE100" t="inlineStr"/>
      <c r="AF100">
        <f>IF(OR(X100&lt;0.8,Y100&lt;0.8,ISNUMBER(SEARCH("critique",AG100))),"Rouge",IF(OR(AND(X100&gt;=0.8,X100&lt;=0.94),AND(Y100&gt;=0.8,Y100&lt;=0.94)),"Orange",IF(AND(X100&gt;0.95,Y100&gt;0.95),"Vert","Orange")))</f>
        <v/>
      </c>
      <c r="AG100" t="inlineStr"/>
      <c r="AH100" t="inlineStr"/>
      <c r="AI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>
        <f>N101*1.18</f>
        <v/>
      </c>
      <c r="P101" t="inlineStr"/>
      <c r="Q101">
        <f>P101*Z101</f>
        <v/>
      </c>
      <c r="R101" t="inlineStr"/>
      <c r="S101" t="inlineStr"/>
      <c r="T101" t="inlineStr"/>
      <c r="U101">
        <f>S101-T101</f>
        <v/>
      </c>
      <c r="V101">
        <f>IFERROR(S101/O101,"")</f>
        <v/>
      </c>
      <c r="W101">
        <f>IFERROR(T101/S101,"")</f>
        <v/>
      </c>
      <c r="X101">
        <f>IFERROR(Z101/MAX(0.0001,((TODAY()-AB101)/(AC101-AB101))),"")</f>
        <v/>
      </c>
      <c r="Y101">
        <f>IFERROR(Q101/R101,"")</f>
        <v/>
      </c>
      <c r="Z101" t="inlineStr"/>
      <c r="AA101" t="inlineStr"/>
      <c r="AB101" t="inlineStr"/>
      <c r="AC101" t="inlineStr"/>
      <c r="AD101" t="inlineStr"/>
      <c r="AE101" t="inlineStr"/>
      <c r="AF101">
        <f>IF(OR(X101&lt;0.8,Y101&lt;0.8,ISNUMBER(SEARCH("critique",AG101))),"Rouge",IF(OR(AND(X101&gt;=0.8,X101&lt;=0.94),AND(Y101&gt;=0.8,Y101&lt;=0.94)),"Orange",IF(AND(X101&gt;0.95,Y101&gt;0.95),"Vert","Orange")))</f>
        <v/>
      </c>
      <c r="AG101" t="inlineStr"/>
      <c r="AH101" t="inlineStr"/>
      <c r="AI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0" customWidth="1" min="4" max="4"/>
    <col width="17" customWidth="1" min="5" max="5"/>
    <col width="12" customWidth="1" min="6" max="6"/>
    <col width="18" customWidth="1" min="7" max="7"/>
    <col width="19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7" customWidth="1" min="14" max="14"/>
    <col width="15" customWidth="1" min="15" max="15"/>
  </cols>
  <sheetData>
    <row r="1">
      <c r="A1" s="1" t="inlineStr">
        <is>
          <t>Période</t>
        </is>
      </c>
      <c r="B1" s="1" t="inlineStr">
        <is>
          <t>Code projet</t>
        </is>
      </c>
      <c r="C1" s="1" t="inlineStr">
        <is>
          <t>Avancement prévu %</t>
        </is>
      </c>
      <c r="D1" s="1" t="inlineStr">
        <is>
          <t>Avancement réel %</t>
        </is>
      </c>
      <c r="E1" s="1" t="inlineStr">
        <is>
          <t>Valeur acquise</t>
        </is>
      </c>
      <c r="F1" s="1" t="inlineStr">
        <is>
          <t>Dépenses</t>
        </is>
      </c>
      <c r="G1" s="1" t="inlineStr">
        <is>
          <t>Montant facturé</t>
        </is>
      </c>
      <c r="H1" s="1" t="inlineStr">
        <is>
          <t>Montant encaissé</t>
        </is>
      </c>
      <c r="I1" s="1" t="inlineStr">
        <is>
          <t>Impayés</t>
        </is>
      </c>
      <c r="J1" s="1" t="inlineStr">
        <is>
          <t>Taux de facturation</t>
        </is>
      </c>
      <c r="K1" s="1" t="inlineStr">
        <is>
          <t>Taux d’encaissement</t>
        </is>
      </c>
      <c r="L1" s="1" t="inlineStr">
        <is>
          <t>SPI</t>
        </is>
      </c>
      <c r="M1" s="1" t="inlineStr">
        <is>
          <t>CPI</t>
        </is>
      </c>
      <c r="N1" s="1" t="inlineStr">
        <is>
          <t>Statut du mois</t>
        </is>
      </c>
      <c r="O1" s="1" t="inlineStr">
        <is>
          <t>Commentaires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>
        <f>G2-H2</f>
        <v/>
      </c>
      <c r="J2">
        <f>IFERROR(G2/E2,"")</f>
        <v/>
      </c>
      <c r="K2">
        <f>IFERROR(H2/G2,"")</f>
        <v/>
      </c>
      <c r="L2">
        <f>IFERROR(D2/C2,"")</f>
        <v/>
      </c>
      <c r="M2">
        <f>IFERROR(E2/F2,"")</f>
        <v/>
      </c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>
        <f>G3-H3</f>
        <v/>
      </c>
      <c r="J3">
        <f>IFERROR(G3/E3,"")</f>
        <v/>
      </c>
      <c r="K3">
        <f>IFERROR(H3/G3,"")</f>
        <v/>
      </c>
      <c r="L3">
        <f>IFERROR(D3/C3,"")</f>
        <v/>
      </c>
      <c r="M3">
        <f>IFERROR(E3/F3,"")</f>
        <v/>
      </c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>
        <f>G4-H4</f>
        <v/>
      </c>
      <c r="J4">
        <f>IFERROR(G4/E4,"")</f>
        <v/>
      </c>
      <c r="K4">
        <f>IFERROR(H4/G4,"")</f>
        <v/>
      </c>
      <c r="L4">
        <f>IFERROR(D4/C4,"")</f>
        <v/>
      </c>
      <c r="M4">
        <f>IFERROR(E4/F4,"")</f>
        <v/>
      </c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>
        <f>G5-H5</f>
        <v/>
      </c>
      <c r="J5">
        <f>IFERROR(G5/E5,"")</f>
        <v/>
      </c>
      <c r="K5">
        <f>IFERROR(H5/G5,"")</f>
        <v/>
      </c>
      <c r="L5">
        <f>IFERROR(D5/C5,"")</f>
        <v/>
      </c>
      <c r="M5">
        <f>IFERROR(E5/F5,"")</f>
        <v/>
      </c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>
        <f>G6-H6</f>
        <v/>
      </c>
      <c r="J6">
        <f>IFERROR(G6/E6,"")</f>
        <v/>
      </c>
      <c r="K6">
        <f>IFERROR(H6/G6,"")</f>
        <v/>
      </c>
      <c r="L6">
        <f>IFERROR(D6/C6,"")</f>
        <v/>
      </c>
      <c r="M6">
        <f>IFERROR(E6/F6,"")</f>
        <v/>
      </c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>
        <f>G7-H7</f>
        <v/>
      </c>
      <c r="J7">
        <f>IFERROR(G7/E7,"")</f>
        <v/>
      </c>
      <c r="K7">
        <f>IFERROR(H7/G7,"")</f>
        <v/>
      </c>
      <c r="L7">
        <f>IFERROR(D7/C7,"")</f>
        <v/>
      </c>
      <c r="M7">
        <f>IFERROR(E7/F7,"")</f>
        <v/>
      </c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>
        <f>G8-H8</f>
        <v/>
      </c>
      <c r="J8">
        <f>IFERROR(G8/E8,"")</f>
        <v/>
      </c>
      <c r="K8">
        <f>IFERROR(H8/G8,"")</f>
        <v/>
      </c>
      <c r="L8">
        <f>IFERROR(D8/C8,"")</f>
        <v/>
      </c>
      <c r="M8">
        <f>IFERROR(E8/F8,"")</f>
        <v/>
      </c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>
        <f>G9-H9</f>
        <v/>
      </c>
      <c r="J9">
        <f>IFERROR(G9/E9,"")</f>
        <v/>
      </c>
      <c r="K9">
        <f>IFERROR(H9/G9,"")</f>
        <v/>
      </c>
      <c r="L9">
        <f>IFERROR(D9/C9,"")</f>
        <v/>
      </c>
      <c r="M9">
        <f>IFERROR(E9/F9,"")</f>
        <v/>
      </c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>
        <f>G10-H10</f>
        <v/>
      </c>
      <c r="J10">
        <f>IFERROR(G10/E10,"")</f>
        <v/>
      </c>
      <c r="K10">
        <f>IFERROR(H10/G10,"")</f>
        <v/>
      </c>
      <c r="L10">
        <f>IFERROR(D10/C10,"")</f>
        <v/>
      </c>
      <c r="M10">
        <f>IFERROR(E10/F10,"")</f>
        <v/>
      </c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>
        <f>G11-H11</f>
        <v/>
      </c>
      <c r="J11">
        <f>IFERROR(G11/E11,"")</f>
        <v/>
      </c>
      <c r="K11">
        <f>IFERROR(H11/G11,"")</f>
        <v/>
      </c>
      <c r="L11">
        <f>IFERROR(D11/C11,"")</f>
        <v/>
      </c>
      <c r="M11">
        <f>IFERROR(E11/F11,"")</f>
        <v/>
      </c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>
        <f>G12-H12</f>
        <v/>
      </c>
      <c r="J12">
        <f>IFERROR(G12/E12,"")</f>
        <v/>
      </c>
      <c r="K12">
        <f>IFERROR(H12/G12,"")</f>
        <v/>
      </c>
      <c r="L12">
        <f>IFERROR(D12/C12,"")</f>
        <v/>
      </c>
      <c r="M12">
        <f>IFERROR(E12/F12,"")</f>
        <v/>
      </c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>
        <f>G13-H13</f>
        <v/>
      </c>
      <c r="J13">
        <f>IFERROR(G13/E13,"")</f>
        <v/>
      </c>
      <c r="K13">
        <f>IFERROR(H13/G13,"")</f>
        <v/>
      </c>
      <c r="L13">
        <f>IFERROR(D13/C13,"")</f>
        <v/>
      </c>
      <c r="M13">
        <f>IFERROR(E13/F13,"")</f>
        <v/>
      </c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>
        <f>G14-H14</f>
        <v/>
      </c>
      <c r="J14">
        <f>IFERROR(G14/E14,"")</f>
        <v/>
      </c>
      <c r="K14">
        <f>IFERROR(H14/G14,"")</f>
        <v/>
      </c>
      <c r="L14">
        <f>IFERROR(D14/C14,"")</f>
        <v/>
      </c>
      <c r="M14">
        <f>IFERROR(E14/F14,"")</f>
        <v/>
      </c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>
        <f>G15-H15</f>
        <v/>
      </c>
      <c r="J15">
        <f>IFERROR(G15/E15,"")</f>
        <v/>
      </c>
      <c r="K15">
        <f>IFERROR(H15/G15,"")</f>
        <v/>
      </c>
      <c r="L15">
        <f>IFERROR(D15/C15,"")</f>
        <v/>
      </c>
      <c r="M15">
        <f>IFERROR(E15/F15,"")</f>
        <v/>
      </c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>
        <f>G16-H16</f>
        <v/>
      </c>
      <c r="J16">
        <f>IFERROR(G16/E16,"")</f>
        <v/>
      </c>
      <c r="K16">
        <f>IFERROR(H16/G16,"")</f>
        <v/>
      </c>
      <c r="L16">
        <f>IFERROR(D16/C16,"")</f>
        <v/>
      </c>
      <c r="M16">
        <f>IFERROR(E16/F16,"")</f>
        <v/>
      </c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>
        <f>G17-H17</f>
        <v/>
      </c>
      <c r="J17">
        <f>IFERROR(G17/E17,"")</f>
        <v/>
      </c>
      <c r="K17">
        <f>IFERROR(H17/G17,"")</f>
        <v/>
      </c>
      <c r="L17">
        <f>IFERROR(D17/C17,"")</f>
        <v/>
      </c>
      <c r="M17">
        <f>IFERROR(E17/F17,"")</f>
        <v/>
      </c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>
        <f>G18-H18</f>
        <v/>
      </c>
      <c r="J18">
        <f>IFERROR(G18/E18,"")</f>
        <v/>
      </c>
      <c r="K18">
        <f>IFERROR(H18/G18,"")</f>
        <v/>
      </c>
      <c r="L18">
        <f>IFERROR(D18/C18,"")</f>
        <v/>
      </c>
      <c r="M18">
        <f>IFERROR(E18/F18,"")</f>
        <v/>
      </c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>
        <f>G19-H19</f>
        <v/>
      </c>
      <c r="J19">
        <f>IFERROR(G19/E19,"")</f>
        <v/>
      </c>
      <c r="K19">
        <f>IFERROR(H19/G19,"")</f>
        <v/>
      </c>
      <c r="L19">
        <f>IFERROR(D19/C19,"")</f>
        <v/>
      </c>
      <c r="M19">
        <f>IFERROR(E19/F19,"")</f>
        <v/>
      </c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>
        <f>G20-H20</f>
        <v/>
      </c>
      <c r="J20">
        <f>IFERROR(G20/E20,"")</f>
        <v/>
      </c>
      <c r="K20">
        <f>IFERROR(H20/G20,"")</f>
        <v/>
      </c>
      <c r="L20">
        <f>IFERROR(D20/C20,"")</f>
        <v/>
      </c>
      <c r="M20">
        <f>IFERROR(E20/F20,"")</f>
        <v/>
      </c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>
        <f>G21-H21</f>
        <v/>
      </c>
      <c r="J21">
        <f>IFERROR(G21/E21,"")</f>
        <v/>
      </c>
      <c r="K21">
        <f>IFERROR(H21/G21,"")</f>
        <v/>
      </c>
      <c r="L21">
        <f>IFERROR(D21/C21,"")</f>
        <v/>
      </c>
      <c r="M21">
        <f>IFERROR(E21/F21,"")</f>
        <v/>
      </c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>
        <f>G22-H22</f>
        <v/>
      </c>
      <c r="J22">
        <f>IFERROR(G22/E22,"")</f>
        <v/>
      </c>
      <c r="K22">
        <f>IFERROR(H22/G22,"")</f>
        <v/>
      </c>
      <c r="L22">
        <f>IFERROR(D22/C22,"")</f>
        <v/>
      </c>
      <c r="M22">
        <f>IFERROR(E22/F22,"")</f>
        <v/>
      </c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>
        <f>G23-H23</f>
        <v/>
      </c>
      <c r="J23">
        <f>IFERROR(G23/E23,"")</f>
        <v/>
      </c>
      <c r="K23">
        <f>IFERROR(H23/G23,"")</f>
        <v/>
      </c>
      <c r="L23">
        <f>IFERROR(D23/C23,"")</f>
        <v/>
      </c>
      <c r="M23">
        <f>IFERROR(E23/F23,"")</f>
        <v/>
      </c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>
        <f>G24-H24</f>
        <v/>
      </c>
      <c r="J24">
        <f>IFERROR(G24/E24,"")</f>
        <v/>
      </c>
      <c r="K24">
        <f>IFERROR(H24/G24,"")</f>
        <v/>
      </c>
      <c r="L24">
        <f>IFERROR(D24/C24,"")</f>
        <v/>
      </c>
      <c r="M24">
        <f>IFERROR(E24/F24,"")</f>
        <v/>
      </c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>
        <f>G25-H25</f>
        <v/>
      </c>
      <c r="J25">
        <f>IFERROR(G25/E25,"")</f>
        <v/>
      </c>
      <c r="K25">
        <f>IFERROR(H25/G25,"")</f>
        <v/>
      </c>
      <c r="L25">
        <f>IFERROR(D25/C25,"")</f>
        <v/>
      </c>
      <c r="M25">
        <f>IFERROR(E25/F25,"")</f>
        <v/>
      </c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>
        <f>G26-H26</f>
        <v/>
      </c>
      <c r="J26">
        <f>IFERROR(G26/E26,"")</f>
        <v/>
      </c>
      <c r="K26">
        <f>IFERROR(H26/G26,"")</f>
        <v/>
      </c>
      <c r="L26">
        <f>IFERROR(D26/C26,"")</f>
        <v/>
      </c>
      <c r="M26">
        <f>IFERROR(E26/F26,"")</f>
        <v/>
      </c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>
        <f>G27-H27</f>
        <v/>
      </c>
      <c r="J27">
        <f>IFERROR(G27/E27,"")</f>
        <v/>
      </c>
      <c r="K27">
        <f>IFERROR(H27/G27,"")</f>
        <v/>
      </c>
      <c r="L27">
        <f>IFERROR(D27/C27,"")</f>
        <v/>
      </c>
      <c r="M27">
        <f>IFERROR(E27/F27,"")</f>
        <v/>
      </c>
      <c r="N27" t="inlineStr"/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>
        <f>G28-H28</f>
        <v/>
      </c>
      <c r="J28">
        <f>IFERROR(G28/E28,"")</f>
        <v/>
      </c>
      <c r="K28">
        <f>IFERROR(H28/G28,"")</f>
        <v/>
      </c>
      <c r="L28">
        <f>IFERROR(D28/C28,"")</f>
        <v/>
      </c>
      <c r="M28">
        <f>IFERROR(E28/F28,"")</f>
        <v/>
      </c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>
        <f>G29-H29</f>
        <v/>
      </c>
      <c r="J29">
        <f>IFERROR(G29/E29,"")</f>
        <v/>
      </c>
      <c r="K29">
        <f>IFERROR(H29/G29,"")</f>
        <v/>
      </c>
      <c r="L29">
        <f>IFERROR(D29/C29,"")</f>
        <v/>
      </c>
      <c r="M29">
        <f>IFERROR(E29/F29,"")</f>
        <v/>
      </c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>
        <f>G30-H30</f>
        <v/>
      </c>
      <c r="J30">
        <f>IFERROR(G30/E30,"")</f>
        <v/>
      </c>
      <c r="K30">
        <f>IFERROR(H30/G30,"")</f>
        <v/>
      </c>
      <c r="L30">
        <f>IFERROR(D30/C30,"")</f>
        <v/>
      </c>
      <c r="M30">
        <f>IFERROR(E30/F30,"")</f>
        <v/>
      </c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>
        <f>G31-H31</f>
        <v/>
      </c>
      <c r="J31">
        <f>IFERROR(G31/E31,"")</f>
        <v/>
      </c>
      <c r="K31">
        <f>IFERROR(H31/G31,"")</f>
        <v/>
      </c>
      <c r="L31">
        <f>IFERROR(D31/C31,"")</f>
        <v/>
      </c>
      <c r="M31">
        <f>IFERROR(E31/F31,"")</f>
        <v/>
      </c>
      <c r="N31" t="inlineStr"/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>
        <f>G32-H32</f>
        <v/>
      </c>
      <c r="J32">
        <f>IFERROR(G32/E32,"")</f>
        <v/>
      </c>
      <c r="K32">
        <f>IFERROR(H32/G32,"")</f>
        <v/>
      </c>
      <c r="L32">
        <f>IFERROR(D32/C32,"")</f>
        <v/>
      </c>
      <c r="M32">
        <f>IFERROR(E32/F32,"")</f>
        <v/>
      </c>
      <c r="N32" t="inlineStr"/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>
        <f>G33-H33</f>
        <v/>
      </c>
      <c r="J33">
        <f>IFERROR(G33/E33,"")</f>
        <v/>
      </c>
      <c r="K33">
        <f>IFERROR(H33/G33,"")</f>
        <v/>
      </c>
      <c r="L33">
        <f>IFERROR(D33/C33,"")</f>
        <v/>
      </c>
      <c r="M33">
        <f>IFERROR(E33/F33,"")</f>
        <v/>
      </c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>
        <f>G34-H34</f>
        <v/>
      </c>
      <c r="J34">
        <f>IFERROR(G34/E34,"")</f>
        <v/>
      </c>
      <c r="K34">
        <f>IFERROR(H34/G34,"")</f>
        <v/>
      </c>
      <c r="L34">
        <f>IFERROR(D34/C34,"")</f>
        <v/>
      </c>
      <c r="M34">
        <f>IFERROR(E34/F34,"")</f>
        <v/>
      </c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>
        <f>G35-H35</f>
        <v/>
      </c>
      <c r="J35">
        <f>IFERROR(G35/E35,"")</f>
        <v/>
      </c>
      <c r="K35">
        <f>IFERROR(H35/G35,"")</f>
        <v/>
      </c>
      <c r="L35">
        <f>IFERROR(D35/C35,"")</f>
        <v/>
      </c>
      <c r="M35">
        <f>IFERROR(E35/F35,"")</f>
        <v/>
      </c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>
        <f>G36-H36</f>
        <v/>
      </c>
      <c r="J36">
        <f>IFERROR(G36/E36,"")</f>
        <v/>
      </c>
      <c r="K36">
        <f>IFERROR(H36/G36,"")</f>
        <v/>
      </c>
      <c r="L36">
        <f>IFERROR(D36/C36,"")</f>
        <v/>
      </c>
      <c r="M36">
        <f>IFERROR(E36/F36,"")</f>
        <v/>
      </c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>
        <f>G37-H37</f>
        <v/>
      </c>
      <c r="J37">
        <f>IFERROR(G37/E37,"")</f>
        <v/>
      </c>
      <c r="K37">
        <f>IFERROR(H37/G37,"")</f>
        <v/>
      </c>
      <c r="L37">
        <f>IFERROR(D37/C37,"")</f>
        <v/>
      </c>
      <c r="M37">
        <f>IFERROR(E37/F37,"")</f>
        <v/>
      </c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>
        <f>G38-H38</f>
        <v/>
      </c>
      <c r="J38">
        <f>IFERROR(G38/E38,"")</f>
        <v/>
      </c>
      <c r="K38">
        <f>IFERROR(H38/G38,"")</f>
        <v/>
      </c>
      <c r="L38">
        <f>IFERROR(D38/C38,"")</f>
        <v/>
      </c>
      <c r="M38">
        <f>IFERROR(E38/F38,"")</f>
        <v/>
      </c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>
        <f>G39-H39</f>
        <v/>
      </c>
      <c r="J39">
        <f>IFERROR(G39/E39,"")</f>
        <v/>
      </c>
      <c r="K39">
        <f>IFERROR(H39/G39,"")</f>
        <v/>
      </c>
      <c r="L39">
        <f>IFERROR(D39/C39,"")</f>
        <v/>
      </c>
      <c r="M39">
        <f>IFERROR(E39/F39,"")</f>
        <v/>
      </c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>
        <f>G40-H40</f>
        <v/>
      </c>
      <c r="J40">
        <f>IFERROR(G40/E40,"")</f>
        <v/>
      </c>
      <c r="K40">
        <f>IFERROR(H40/G40,"")</f>
        <v/>
      </c>
      <c r="L40">
        <f>IFERROR(D40/C40,"")</f>
        <v/>
      </c>
      <c r="M40">
        <f>IFERROR(E40/F40,"")</f>
        <v/>
      </c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>
        <f>G41-H41</f>
        <v/>
      </c>
      <c r="J41">
        <f>IFERROR(G41/E41,"")</f>
        <v/>
      </c>
      <c r="K41">
        <f>IFERROR(H41/G41,"")</f>
        <v/>
      </c>
      <c r="L41">
        <f>IFERROR(D41/C41,"")</f>
        <v/>
      </c>
      <c r="M41">
        <f>IFERROR(E41/F41,"")</f>
        <v/>
      </c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>
        <f>G42-H42</f>
        <v/>
      </c>
      <c r="J42">
        <f>IFERROR(G42/E42,"")</f>
        <v/>
      </c>
      <c r="K42">
        <f>IFERROR(H42/G42,"")</f>
        <v/>
      </c>
      <c r="L42">
        <f>IFERROR(D42/C42,"")</f>
        <v/>
      </c>
      <c r="M42">
        <f>IFERROR(E42/F42,"")</f>
        <v/>
      </c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>
        <f>G43-H43</f>
        <v/>
      </c>
      <c r="J43">
        <f>IFERROR(G43/E43,"")</f>
        <v/>
      </c>
      <c r="K43">
        <f>IFERROR(H43/G43,"")</f>
        <v/>
      </c>
      <c r="L43">
        <f>IFERROR(D43/C43,"")</f>
        <v/>
      </c>
      <c r="M43">
        <f>IFERROR(E43/F43,"")</f>
        <v/>
      </c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>
        <f>G44-H44</f>
        <v/>
      </c>
      <c r="J44">
        <f>IFERROR(G44/E44,"")</f>
        <v/>
      </c>
      <c r="K44">
        <f>IFERROR(H44/G44,"")</f>
        <v/>
      </c>
      <c r="L44">
        <f>IFERROR(D44/C44,"")</f>
        <v/>
      </c>
      <c r="M44">
        <f>IFERROR(E44/F44,"")</f>
        <v/>
      </c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>
        <f>G45-H45</f>
        <v/>
      </c>
      <c r="J45">
        <f>IFERROR(G45/E45,"")</f>
        <v/>
      </c>
      <c r="K45">
        <f>IFERROR(H45/G45,"")</f>
        <v/>
      </c>
      <c r="L45">
        <f>IFERROR(D45/C45,"")</f>
        <v/>
      </c>
      <c r="M45">
        <f>IFERROR(E45/F45,"")</f>
        <v/>
      </c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>
        <f>G46-H46</f>
        <v/>
      </c>
      <c r="J46">
        <f>IFERROR(G46/E46,"")</f>
        <v/>
      </c>
      <c r="K46">
        <f>IFERROR(H46/G46,"")</f>
        <v/>
      </c>
      <c r="L46">
        <f>IFERROR(D46/C46,"")</f>
        <v/>
      </c>
      <c r="M46">
        <f>IFERROR(E46/F46,"")</f>
        <v/>
      </c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>
        <f>G47-H47</f>
        <v/>
      </c>
      <c r="J47">
        <f>IFERROR(G47/E47,"")</f>
        <v/>
      </c>
      <c r="K47">
        <f>IFERROR(H47/G47,"")</f>
        <v/>
      </c>
      <c r="L47">
        <f>IFERROR(D47/C47,"")</f>
        <v/>
      </c>
      <c r="M47">
        <f>IFERROR(E47/F47,"")</f>
        <v/>
      </c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>
        <f>G48-H48</f>
        <v/>
      </c>
      <c r="J48">
        <f>IFERROR(G48/E48,"")</f>
        <v/>
      </c>
      <c r="K48">
        <f>IFERROR(H48/G48,"")</f>
        <v/>
      </c>
      <c r="L48">
        <f>IFERROR(D48/C48,"")</f>
        <v/>
      </c>
      <c r="M48">
        <f>IFERROR(E48/F48,"")</f>
        <v/>
      </c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>
        <f>G49-H49</f>
        <v/>
      </c>
      <c r="J49">
        <f>IFERROR(G49/E49,"")</f>
        <v/>
      </c>
      <c r="K49">
        <f>IFERROR(H49/G49,"")</f>
        <v/>
      </c>
      <c r="L49">
        <f>IFERROR(D49/C49,"")</f>
        <v/>
      </c>
      <c r="M49">
        <f>IFERROR(E49/F49,"")</f>
        <v/>
      </c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>
        <f>G50-H50</f>
        <v/>
      </c>
      <c r="J50">
        <f>IFERROR(G50/E50,"")</f>
        <v/>
      </c>
      <c r="K50">
        <f>IFERROR(H50/G50,"")</f>
        <v/>
      </c>
      <c r="L50">
        <f>IFERROR(D50/C50,"")</f>
        <v/>
      </c>
      <c r="M50">
        <f>IFERROR(E50/F50,"")</f>
        <v/>
      </c>
      <c r="N50" t="inlineStr"/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>
        <f>G51-H51</f>
        <v/>
      </c>
      <c r="J51">
        <f>IFERROR(G51/E51,"")</f>
        <v/>
      </c>
      <c r="K51">
        <f>IFERROR(H51/G51,"")</f>
        <v/>
      </c>
      <c r="L51">
        <f>IFERROR(D51/C51,"")</f>
        <v/>
      </c>
      <c r="M51">
        <f>IFERROR(E51/F51,"")</f>
        <v/>
      </c>
      <c r="N51" t="inlineStr"/>
      <c r="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>
        <f>G52-H52</f>
        <v/>
      </c>
      <c r="J52">
        <f>IFERROR(G52/E52,"")</f>
        <v/>
      </c>
      <c r="K52">
        <f>IFERROR(H52/G52,"")</f>
        <v/>
      </c>
      <c r="L52">
        <f>IFERROR(D52/C52,"")</f>
        <v/>
      </c>
      <c r="M52">
        <f>IFERROR(E52/F52,"")</f>
        <v/>
      </c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>
        <f>G53-H53</f>
        <v/>
      </c>
      <c r="J53">
        <f>IFERROR(G53/E53,"")</f>
        <v/>
      </c>
      <c r="K53">
        <f>IFERROR(H53/G53,"")</f>
        <v/>
      </c>
      <c r="L53">
        <f>IFERROR(D53/C53,"")</f>
        <v/>
      </c>
      <c r="M53">
        <f>IFERROR(E53/F53,"")</f>
        <v/>
      </c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>
        <f>G54-H54</f>
        <v/>
      </c>
      <c r="J54">
        <f>IFERROR(G54/E54,"")</f>
        <v/>
      </c>
      <c r="K54">
        <f>IFERROR(H54/G54,"")</f>
        <v/>
      </c>
      <c r="L54">
        <f>IFERROR(D54/C54,"")</f>
        <v/>
      </c>
      <c r="M54">
        <f>IFERROR(E54/F54,"")</f>
        <v/>
      </c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>
        <f>G55-H55</f>
        <v/>
      </c>
      <c r="J55">
        <f>IFERROR(G55/E55,"")</f>
        <v/>
      </c>
      <c r="K55">
        <f>IFERROR(H55/G55,"")</f>
        <v/>
      </c>
      <c r="L55">
        <f>IFERROR(D55/C55,"")</f>
        <v/>
      </c>
      <c r="M55">
        <f>IFERROR(E55/F55,"")</f>
        <v/>
      </c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>
        <f>G56-H56</f>
        <v/>
      </c>
      <c r="J56">
        <f>IFERROR(G56/E56,"")</f>
        <v/>
      </c>
      <c r="K56">
        <f>IFERROR(H56/G56,"")</f>
        <v/>
      </c>
      <c r="L56">
        <f>IFERROR(D56/C56,"")</f>
        <v/>
      </c>
      <c r="M56">
        <f>IFERROR(E56/F56,"")</f>
        <v/>
      </c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>
        <f>G57-H57</f>
        <v/>
      </c>
      <c r="J57">
        <f>IFERROR(G57/E57,"")</f>
        <v/>
      </c>
      <c r="K57">
        <f>IFERROR(H57/G57,"")</f>
        <v/>
      </c>
      <c r="L57">
        <f>IFERROR(D57/C57,"")</f>
        <v/>
      </c>
      <c r="M57">
        <f>IFERROR(E57/F57,"")</f>
        <v/>
      </c>
      <c r="N57" t="inlineStr"/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>
        <f>G58-H58</f>
        <v/>
      </c>
      <c r="J58">
        <f>IFERROR(G58/E58,"")</f>
        <v/>
      </c>
      <c r="K58">
        <f>IFERROR(H58/G58,"")</f>
        <v/>
      </c>
      <c r="L58">
        <f>IFERROR(D58/C58,"")</f>
        <v/>
      </c>
      <c r="M58">
        <f>IFERROR(E58/F58,"")</f>
        <v/>
      </c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>
        <f>G59-H59</f>
        <v/>
      </c>
      <c r="J59">
        <f>IFERROR(G59/E59,"")</f>
        <v/>
      </c>
      <c r="K59">
        <f>IFERROR(H59/G59,"")</f>
        <v/>
      </c>
      <c r="L59">
        <f>IFERROR(D59/C59,"")</f>
        <v/>
      </c>
      <c r="M59">
        <f>IFERROR(E59/F59,"")</f>
        <v/>
      </c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>
        <f>G60-H60</f>
        <v/>
      </c>
      <c r="J60">
        <f>IFERROR(G60/E60,"")</f>
        <v/>
      </c>
      <c r="K60">
        <f>IFERROR(H60/G60,"")</f>
        <v/>
      </c>
      <c r="L60">
        <f>IFERROR(D60/C60,"")</f>
        <v/>
      </c>
      <c r="M60">
        <f>IFERROR(E60/F60,"")</f>
        <v/>
      </c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>
        <f>G61-H61</f>
        <v/>
      </c>
      <c r="J61">
        <f>IFERROR(G61/E61,"")</f>
        <v/>
      </c>
      <c r="K61">
        <f>IFERROR(H61/G61,"")</f>
        <v/>
      </c>
      <c r="L61">
        <f>IFERROR(D61/C61,"")</f>
        <v/>
      </c>
      <c r="M61">
        <f>IFERROR(E61/F61,"")</f>
        <v/>
      </c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>
        <f>G62-H62</f>
        <v/>
      </c>
      <c r="J62">
        <f>IFERROR(G62/E62,"")</f>
        <v/>
      </c>
      <c r="K62">
        <f>IFERROR(H62/G62,"")</f>
        <v/>
      </c>
      <c r="L62">
        <f>IFERROR(D62/C62,"")</f>
        <v/>
      </c>
      <c r="M62">
        <f>IFERROR(E62/F62,"")</f>
        <v/>
      </c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>
        <f>G63-H63</f>
        <v/>
      </c>
      <c r="J63">
        <f>IFERROR(G63/E63,"")</f>
        <v/>
      </c>
      <c r="K63">
        <f>IFERROR(H63/G63,"")</f>
        <v/>
      </c>
      <c r="L63">
        <f>IFERROR(D63/C63,"")</f>
        <v/>
      </c>
      <c r="M63">
        <f>IFERROR(E63/F63,"")</f>
        <v/>
      </c>
      <c r="N63" t="inlineStr"/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>
        <f>G64-H64</f>
        <v/>
      </c>
      <c r="J64">
        <f>IFERROR(G64/E64,"")</f>
        <v/>
      </c>
      <c r="K64">
        <f>IFERROR(H64/G64,"")</f>
        <v/>
      </c>
      <c r="L64">
        <f>IFERROR(D64/C64,"")</f>
        <v/>
      </c>
      <c r="M64">
        <f>IFERROR(E64/F64,"")</f>
        <v/>
      </c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>
        <f>G65-H65</f>
        <v/>
      </c>
      <c r="J65">
        <f>IFERROR(G65/E65,"")</f>
        <v/>
      </c>
      <c r="K65">
        <f>IFERROR(H65/G65,"")</f>
        <v/>
      </c>
      <c r="L65">
        <f>IFERROR(D65/C65,"")</f>
        <v/>
      </c>
      <c r="M65">
        <f>IFERROR(E65/F65,"")</f>
        <v/>
      </c>
      <c r="N65" t="inlineStr"/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>
        <f>G66-H66</f>
        <v/>
      </c>
      <c r="J66">
        <f>IFERROR(G66/E66,"")</f>
        <v/>
      </c>
      <c r="K66">
        <f>IFERROR(H66/G66,"")</f>
        <v/>
      </c>
      <c r="L66">
        <f>IFERROR(D66/C66,"")</f>
        <v/>
      </c>
      <c r="M66">
        <f>IFERROR(E66/F66,"")</f>
        <v/>
      </c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>
        <f>G67-H67</f>
        <v/>
      </c>
      <c r="J67">
        <f>IFERROR(G67/E67,"")</f>
        <v/>
      </c>
      <c r="K67">
        <f>IFERROR(H67/G67,"")</f>
        <v/>
      </c>
      <c r="L67">
        <f>IFERROR(D67/C67,"")</f>
        <v/>
      </c>
      <c r="M67">
        <f>IFERROR(E67/F67,"")</f>
        <v/>
      </c>
      <c r="N67" t="inlineStr"/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>
        <f>G68-H68</f>
        <v/>
      </c>
      <c r="J68">
        <f>IFERROR(G68/E68,"")</f>
        <v/>
      </c>
      <c r="K68">
        <f>IFERROR(H68/G68,"")</f>
        <v/>
      </c>
      <c r="L68">
        <f>IFERROR(D68/C68,"")</f>
        <v/>
      </c>
      <c r="M68">
        <f>IFERROR(E68/F68,"")</f>
        <v/>
      </c>
      <c r="N68" t="inlineStr"/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>
        <f>G69-H69</f>
        <v/>
      </c>
      <c r="J69">
        <f>IFERROR(G69/E69,"")</f>
        <v/>
      </c>
      <c r="K69">
        <f>IFERROR(H69/G69,"")</f>
        <v/>
      </c>
      <c r="L69">
        <f>IFERROR(D69/C69,"")</f>
        <v/>
      </c>
      <c r="M69">
        <f>IFERROR(E69/F69,"")</f>
        <v/>
      </c>
      <c r="N69" t="inlineStr"/>
      <c r="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>
        <f>G70-H70</f>
        <v/>
      </c>
      <c r="J70">
        <f>IFERROR(G70/E70,"")</f>
        <v/>
      </c>
      <c r="K70">
        <f>IFERROR(H70/G70,"")</f>
        <v/>
      </c>
      <c r="L70">
        <f>IFERROR(D70/C70,"")</f>
        <v/>
      </c>
      <c r="M70">
        <f>IFERROR(E70/F70,"")</f>
        <v/>
      </c>
      <c r="N70" t="inlineStr"/>
      <c r="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>
        <f>G71-H71</f>
        <v/>
      </c>
      <c r="J71">
        <f>IFERROR(G71/E71,"")</f>
        <v/>
      </c>
      <c r="K71">
        <f>IFERROR(H71/G71,"")</f>
        <v/>
      </c>
      <c r="L71">
        <f>IFERROR(D71/C71,"")</f>
        <v/>
      </c>
      <c r="M71">
        <f>IFERROR(E71/F71,"")</f>
        <v/>
      </c>
      <c r="N71" t="inlineStr"/>
      <c r="O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>
        <f>G72-H72</f>
        <v/>
      </c>
      <c r="J72">
        <f>IFERROR(G72/E72,"")</f>
        <v/>
      </c>
      <c r="K72">
        <f>IFERROR(H72/G72,"")</f>
        <v/>
      </c>
      <c r="L72">
        <f>IFERROR(D72/C72,"")</f>
        <v/>
      </c>
      <c r="M72">
        <f>IFERROR(E72/F72,"")</f>
        <v/>
      </c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>
        <f>G73-H73</f>
        <v/>
      </c>
      <c r="J73">
        <f>IFERROR(G73/E73,"")</f>
        <v/>
      </c>
      <c r="K73">
        <f>IFERROR(H73/G73,"")</f>
        <v/>
      </c>
      <c r="L73">
        <f>IFERROR(D73/C73,"")</f>
        <v/>
      </c>
      <c r="M73">
        <f>IFERROR(E73/F73,"")</f>
        <v/>
      </c>
      <c r="N73" t="inlineStr"/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>
        <f>G74-H74</f>
        <v/>
      </c>
      <c r="J74">
        <f>IFERROR(G74/E74,"")</f>
        <v/>
      </c>
      <c r="K74">
        <f>IFERROR(H74/G74,"")</f>
        <v/>
      </c>
      <c r="L74">
        <f>IFERROR(D74/C74,"")</f>
        <v/>
      </c>
      <c r="M74">
        <f>IFERROR(E74/F74,"")</f>
        <v/>
      </c>
      <c r="N74" t="inlineStr"/>
      <c r="O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>
        <f>G75-H75</f>
        <v/>
      </c>
      <c r="J75">
        <f>IFERROR(G75/E75,"")</f>
        <v/>
      </c>
      <c r="K75">
        <f>IFERROR(H75/G75,"")</f>
        <v/>
      </c>
      <c r="L75">
        <f>IFERROR(D75/C75,"")</f>
        <v/>
      </c>
      <c r="M75">
        <f>IFERROR(E75/F75,"")</f>
        <v/>
      </c>
      <c r="N75" t="inlineStr"/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>
        <f>G76-H76</f>
        <v/>
      </c>
      <c r="J76">
        <f>IFERROR(G76/E76,"")</f>
        <v/>
      </c>
      <c r="K76">
        <f>IFERROR(H76/G76,"")</f>
        <v/>
      </c>
      <c r="L76">
        <f>IFERROR(D76/C76,"")</f>
        <v/>
      </c>
      <c r="M76">
        <f>IFERROR(E76/F76,"")</f>
        <v/>
      </c>
      <c r="N76" t="inlineStr"/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>
        <f>G77-H77</f>
        <v/>
      </c>
      <c r="J77">
        <f>IFERROR(G77/E77,"")</f>
        <v/>
      </c>
      <c r="K77">
        <f>IFERROR(H77/G77,"")</f>
        <v/>
      </c>
      <c r="L77">
        <f>IFERROR(D77/C77,"")</f>
        <v/>
      </c>
      <c r="M77">
        <f>IFERROR(E77/F77,"")</f>
        <v/>
      </c>
      <c r="N77" t="inlineStr"/>
      <c r="O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>
        <f>G78-H78</f>
        <v/>
      </c>
      <c r="J78">
        <f>IFERROR(G78/E78,"")</f>
        <v/>
      </c>
      <c r="K78">
        <f>IFERROR(H78/G78,"")</f>
        <v/>
      </c>
      <c r="L78">
        <f>IFERROR(D78/C78,"")</f>
        <v/>
      </c>
      <c r="M78">
        <f>IFERROR(E78/F78,"")</f>
        <v/>
      </c>
      <c r="N78" t="inlineStr"/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>
        <f>G79-H79</f>
        <v/>
      </c>
      <c r="J79">
        <f>IFERROR(G79/E79,"")</f>
        <v/>
      </c>
      <c r="K79">
        <f>IFERROR(H79/G79,"")</f>
        <v/>
      </c>
      <c r="L79">
        <f>IFERROR(D79/C79,"")</f>
        <v/>
      </c>
      <c r="M79">
        <f>IFERROR(E79/F79,"")</f>
        <v/>
      </c>
      <c r="N79" t="inlineStr"/>
      <c r="O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>
        <f>G80-H80</f>
        <v/>
      </c>
      <c r="J80">
        <f>IFERROR(G80/E80,"")</f>
        <v/>
      </c>
      <c r="K80">
        <f>IFERROR(H80/G80,"")</f>
        <v/>
      </c>
      <c r="L80">
        <f>IFERROR(D80/C80,"")</f>
        <v/>
      </c>
      <c r="M80">
        <f>IFERROR(E80/F80,"")</f>
        <v/>
      </c>
      <c r="N80" t="inlineStr"/>
      <c r="O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>
        <f>G81-H81</f>
        <v/>
      </c>
      <c r="J81">
        <f>IFERROR(G81/E81,"")</f>
        <v/>
      </c>
      <c r="K81">
        <f>IFERROR(H81/G81,"")</f>
        <v/>
      </c>
      <c r="L81">
        <f>IFERROR(D81/C81,"")</f>
        <v/>
      </c>
      <c r="M81">
        <f>IFERROR(E81/F81,"")</f>
        <v/>
      </c>
      <c r="N81" t="inlineStr"/>
      <c r="O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>
        <f>G82-H82</f>
        <v/>
      </c>
      <c r="J82">
        <f>IFERROR(G82/E82,"")</f>
        <v/>
      </c>
      <c r="K82">
        <f>IFERROR(H82/G82,"")</f>
        <v/>
      </c>
      <c r="L82">
        <f>IFERROR(D82/C82,"")</f>
        <v/>
      </c>
      <c r="M82">
        <f>IFERROR(E82/F82,"")</f>
        <v/>
      </c>
      <c r="N82" t="inlineStr"/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>
        <f>G83-H83</f>
        <v/>
      </c>
      <c r="J83">
        <f>IFERROR(G83/E83,"")</f>
        <v/>
      </c>
      <c r="K83">
        <f>IFERROR(H83/G83,"")</f>
        <v/>
      </c>
      <c r="L83">
        <f>IFERROR(D83/C83,"")</f>
        <v/>
      </c>
      <c r="M83">
        <f>IFERROR(E83/F83,"")</f>
        <v/>
      </c>
      <c r="N83" t="inlineStr"/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>
        <f>G84-H84</f>
        <v/>
      </c>
      <c r="J84">
        <f>IFERROR(G84/E84,"")</f>
        <v/>
      </c>
      <c r="K84">
        <f>IFERROR(H84/G84,"")</f>
        <v/>
      </c>
      <c r="L84">
        <f>IFERROR(D84/C84,"")</f>
        <v/>
      </c>
      <c r="M84">
        <f>IFERROR(E84/F84,"")</f>
        <v/>
      </c>
      <c r="N84" t="inlineStr"/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>
        <f>G85-H85</f>
        <v/>
      </c>
      <c r="J85">
        <f>IFERROR(G85/E85,"")</f>
        <v/>
      </c>
      <c r="K85">
        <f>IFERROR(H85/G85,"")</f>
        <v/>
      </c>
      <c r="L85">
        <f>IFERROR(D85/C85,"")</f>
        <v/>
      </c>
      <c r="M85">
        <f>IFERROR(E85/F85,"")</f>
        <v/>
      </c>
      <c r="N85" t="inlineStr"/>
      <c r="O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>
        <f>G86-H86</f>
        <v/>
      </c>
      <c r="J86">
        <f>IFERROR(G86/E86,"")</f>
        <v/>
      </c>
      <c r="K86">
        <f>IFERROR(H86/G86,"")</f>
        <v/>
      </c>
      <c r="L86">
        <f>IFERROR(D86/C86,"")</f>
        <v/>
      </c>
      <c r="M86">
        <f>IFERROR(E86/F86,"")</f>
        <v/>
      </c>
      <c r="N86" t="inlineStr"/>
      <c r="O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>
        <f>G87-H87</f>
        <v/>
      </c>
      <c r="J87">
        <f>IFERROR(G87/E87,"")</f>
        <v/>
      </c>
      <c r="K87">
        <f>IFERROR(H87/G87,"")</f>
        <v/>
      </c>
      <c r="L87">
        <f>IFERROR(D87/C87,"")</f>
        <v/>
      </c>
      <c r="M87">
        <f>IFERROR(E87/F87,"")</f>
        <v/>
      </c>
      <c r="N87" t="inlineStr"/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>
        <f>G88-H88</f>
        <v/>
      </c>
      <c r="J88">
        <f>IFERROR(G88/E88,"")</f>
        <v/>
      </c>
      <c r="K88">
        <f>IFERROR(H88/G88,"")</f>
        <v/>
      </c>
      <c r="L88">
        <f>IFERROR(D88/C88,"")</f>
        <v/>
      </c>
      <c r="M88">
        <f>IFERROR(E88/F88,"")</f>
        <v/>
      </c>
      <c r="N88" t="inlineStr"/>
      <c r="O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>
        <f>G89-H89</f>
        <v/>
      </c>
      <c r="J89">
        <f>IFERROR(G89/E89,"")</f>
        <v/>
      </c>
      <c r="K89">
        <f>IFERROR(H89/G89,"")</f>
        <v/>
      </c>
      <c r="L89">
        <f>IFERROR(D89/C89,"")</f>
        <v/>
      </c>
      <c r="M89">
        <f>IFERROR(E89/F89,"")</f>
        <v/>
      </c>
      <c r="N89" t="inlineStr"/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>
        <f>G90-H90</f>
        <v/>
      </c>
      <c r="J90">
        <f>IFERROR(G90/E90,"")</f>
        <v/>
      </c>
      <c r="K90">
        <f>IFERROR(H90/G90,"")</f>
        <v/>
      </c>
      <c r="L90">
        <f>IFERROR(D90/C90,"")</f>
        <v/>
      </c>
      <c r="M90">
        <f>IFERROR(E90/F90,"")</f>
        <v/>
      </c>
      <c r="N90" t="inlineStr"/>
      <c r="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>
        <f>G91-H91</f>
        <v/>
      </c>
      <c r="J91">
        <f>IFERROR(G91/E91,"")</f>
        <v/>
      </c>
      <c r="K91">
        <f>IFERROR(H91/G91,"")</f>
        <v/>
      </c>
      <c r="L91">
        <f>IFERROR(D91/C91,"")</f>
        <v/>
      </c>
      <c r="M91">
        <f>IFERROR(E91/F91,"")</f>
        <v/>
      </c>
      <c r="N91" t="inlineStr"/>
      <c r="O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>
        <f>G92-H92</f>
        <v/>
      </c>
      <c r="J92">
        <f>IFERROR(G92/E92,"")</f>
        <v/>
      </c>
      <c r="K92">
        <f>IFERROR(H92/G92,"")</f>
        <v/>
      </c>
      <c r="L92">
        <f>IFERROR(D92/C92,"")</f>
        <v/>
      </c>
      <c r="M92">
        <f>IFERROR(E92/F92,"")</f>
        <v/>
      </c>
      <c r="N92" t="inlineStr"/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>
        <f>G93-H93</f>
        <v/>
      </c>
      <c r="J93">
        <f>IFERROR(G93/E93,"")</f>
        <v/>
      </c>
      <c r="K93">
        <f>IFERROR(H93/G93,"")</f>
        <v/>
      </c>
      <c r="L93">
        <f>IFERROR(D93/C93,"")</f>
        <v/>
      </c>
      <c r="M93">
        <f>IFERROR(E93/F93,"")</f>
        <v/>
      </c>
      <c r="N93" t="inlineStr"/>
      <c r="O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>
        <f>G94-H94</f>
        <v/>
      </c>
      <c r="J94">
        <f>IFERROR(G94/E94,"")</f>
        <v/>
      </c>
      <c r="K94">
        <f>IFERROR(H94/G94,"")</f>
        <v/>
      </c>
      <c r="L94">
        <f>IFERROR(D94/C94,"")</f>
        <v/>
      </c>
      <c r="M94">
        <f>IFERROR(E94/F94,"")</f>
        <v/>
      </c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>
        <f>G95-H95</f>
        <v/>
      </c>
      <c r="J95">
        <f>IFERROR(G95/E95,"")</f>
        <v/>
      </c>
      <c r="K95">
        <f>IFERROR(H95/G95,"")</f>
        <v/>
      </c>
      <c r="L95">
        <f>IFERROR(D95/C95,"")</f>
        <v/>
      </c>
      <c r="M95">
        <f>IFERROR(E95/F95,"")</f>
        <v/>
      </c>
      <c r="N95" t="inlineStr"/>
      <c r="O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>
        <f>G96-H96</f>
        <v/>
      </c>
      <c r="J96">
        <f>IFERROR(G96/E96,"")</f>
        <v/>
      </c>
      <c r="K96">
        <f>IFERROR(H96/G96,"")</f>
        <v/>
      </c>
      <c r="L96">
        <f>IFERROR(D96/C96,"")</f>
        <v/>
      </c>
      <c r="M96">
        <f>IFERROR(E96/F96,"")</f>
        <v/>
      </c>
      <c r="N96" t="inlineStr"/>
      <c r="O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>
        <f>G97-H97</f>
        <v/>
      </c>
      <c r="J97">
        <f>IFERROR(G97/E97,"")</f>
        <v/>
      </c>
      <c r="K97">
        <f>IFERROR(H97/G97,"")</f>
        <v/>
      </c>
      <c r="L97">
        <f>IFERROR(D97/C97,"")</f>
        <v/>
      </c>
      <c r="M97">
        <f>IFERROR(E97/F97,"")</f>
        <v/>
      </c>
      <c r="N97" t="inlineStr"/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>
        <f>G98-H98</f>
        <v/>
      </c>
      <c r="J98">
        <f>IFERROR(G98/E98,"")</f>
        <v/>
      </c>
      <c r="K98">
        <f>IFERROR(H98/G98,"")</f>
        <v/>
      </c>
      <c r="L98">
        <f>IFERROR(D98/C98,"")</f>
        <v/>
      </c>
      <c r="M98">
        <f>IFERROR(E98/F98,"")</f>
        <v/>
      </c>
      <c r="N98" t="inlineStr"/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>
        <f>G99-H99</f>
        <v/>
      </c>
      <c r="J99">
        <f>IFERROR(G99/E99,"")</f>
        <v/>
      </c>
      <c r="K99">
        <f>IFERROR(H99/G99,"")</f>
        <v/>
      </c>
      <c r="L99">
        <f>IFERROR(D99/C99,"")</f>
        <v/>
      </c>
      <c r="M99">
        <f>IFERROR(E99/F99,"")</f>
        <v/>
      </c>
      <c r="N99" t="inlineStr"/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>
        <f>G100-H100</f>
        <v/>
      </c>
      <c r="J100">
        <f>IFERROR(G100/E100,"")</f>
        <v/>
      </c>
      <c r="K100">
        <f>IFERROR(H100/G100,"")</f>
        <v/>
      </c>
      <c r="L100">
        <f>IFERROR(D100/C100,"")</f>
        <v/>
      </c>
      <c r="M100">
        <f>IFERROR(E100/F100,"")</f>
        <v/>
      </c>
      <c r="N100" t="inlineStr"/>
      <c r="O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>
        <f>G101-H101</f>
        <v/>
      </c>
      <c r="J101">
        <f>IFERROR(G101/E101,"")</f>
        <v/>
      </c>
      <c r="K101">
        <f>IFERROR(H101/G101,"")</f>
        <v/>
      </c>
      <c r="L101">
        <f>IFERROR(D101/C101,"")</f>
        <v/>
      </c>
      <c r="M101">
        <f>IFERROR(E101/F101,"")</f>
        <v/>
      </c>
      <c r="N101" t="inlineStr"/>
      <c r="O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>
        <f>G102-H102</f>
        <v/>
      </c>
      <c r="J102">
        <f>IFERROR(G102/E102,"")</f>
        <v/>
      </c>
      <c r="K102">
        <f>IFERROR(H102/G102,"")</f>
        <v/>
      </c>
      <c r="L102">
        <f>IFERROR(D102/C102,"")</f>
        <v/>
      </c>
      <c r="M102">
        <f>IFERROR(E102/F102,"")</f>
        <v/>
      </c>
      <c r="N102" t="inlineStr"/>
      <c r="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>
        <f>G103-H103</f>
        <v/>
      </c>
      <c r="J103">
        <f>IFERROR(G103/E103,"")</f>
        <v/>
      </c>
      <c r="K103">
        <f>IFERROR(H103/G103,"")</f>
        <v/>
      </c>
      <c r="L103">
        <f>IFERROR(D103/C103,"")</f>
        <v/>
      </c>
      <c r="M103">
        <f>IFERROR(E103/F103,"")</f>
        <v/>
      </c>
      <c r="N103" t="inlineStr"/>
      <c r="O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>
        <f>G104-H104</f>
        <v/>
      </c>
      <c r="J104">
        <f>IFERROR(G104/E104,"")</f>
        <v/>
      </c>
      <c r="K104">
        <f>IFERROR(H104/G104,"")</f>
        <v/>
      </c>
      <c r="L104">
        <f>IFERROR(D104/C104,"")</f>
        <v/>
      </c>
      <c r="M104">
        <f>IFERROR(E104/F104,"")</f>
        <v/>
      </c>
      <c r="N104" t="inlineStr"/>
      <c r="O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>
        <f>G105-H105</f>
        <v/>
      </c>
      <c r="J105">
        <f>IFERROR(G105/E105,"")</f>
        <v/>
      </c>
      <c r="K105">
        <f>IFERROR(H105/G105,"")</f>
        <v/>
      </c>
      <c r="L105">
        <f>IFERROR(D105/C105,"")</f>
        <v/>
      </c>
      <c r="M105">
        <f>IFERROR(E105/F105,"")</f>
        <v/>
      </c>
      <c r="N105" t="inlineStr"/>
      <c r="O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>
        <f>G106-H106</f>
        <v/>
      </c>
      <c r="J106">
        <f>IFERROR(G106/E106,"")</f>
        <v/>
      </c>
      <c r="K106">
        <f>IFERROR(H106/G106,"")</f>
        <v/>
      </c>
      <c r="L106">
        <f>IFERROR(D106/C106,"")</f>
        <v/>
      </c>
      <c r="M106">
        <f>IFERROR(E106/F106,"")</f>
        <v/>
      </c>
      <c r="N106" t="inlineStr"/>
      <c r="O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>
        <f>G107-H107</f>
        <v/>
      </c>
      <c r="J107">
        <f>IFERROR(G107/E107,"")</f>
        <v/>
      </c>
      <c r="K107">
        <f>IFERROR(H107/G107,"")</f>
        <v/>
      </c>
      <c r="L107">
        <f>IFERROR(D107/C107,"")</f>
        <v/>
      </c>
      <c r="M107">
        <f>IFERROR(E107/F107,"")</f>
        <v/>
      </c>
      <c r="N107" t="inlineStr"/>
      <c r="O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>
        <f>G108-H108</f>
        <v/>
      </c>
      <c r="J108">
        <f>IFERROR(G108/E108,"")</f>
        <v/>
      </c>
      <c r="K108">
        <f>IFERROR(H108/G108,"")</f>
        <v/>
      </c>
      <c r="L108">
        <f>IFERROR(D108/C108,"")</f>
        <v/>
      </c>
      <c r="M108">
        <f>IFERROR(E108/F108,"")</f>
        <v/>
      </c>
      <c r="N108" t="inlineStr"/>
      <c r="O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>
        <f>G109-H109</f>
        <v/>
      </c>
      <c r="J109">
        <f>IFERROR(G109/E109,"")</f>
        <v/>
      </c>
      <c r="K109">
        <f>IFERROR(H109/G109,"")</f>
        <v/>
      </c>
      <c r="L109">
        <f>IFERROR(D109/C109,"")</f>
        <v/>
      </c>
      <c r="M109">
        <f>IFERROR(E109/F109,"")</f>
        <v/>
      </c>
      <c r="N109" t="inlineStr"/>
      <c r="O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>
        <f>G110-H110</f>
        <v/>
      </c>
      <c r="J110">
        <f>IFERROR(G110/E110,"")</f>
        <v/>
      </c>
      <c r="K110">
        <f>IFERROR(H110/G110,"")</f>
        <v/>
      </c>
      <c r="L110">
        <f>IFERROR(D110/C110,"")</f>
        <v/>
      </c>
      <c r="M110">
        <f>IFERROR(E110/F110,"")</f>
        <v/>
      </c>
      <c r="N110" t="inlineStr"/>
      <c r="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>
        <f>G111-H111</f>
        <v/>
      </c>
      <c r="J111">
        <f>IFERROR(G111/E111,"")</f>
        <v/>
      </c>
      <c r="K111">
        <f>IFERROR(H111/G111,"")</f>
        <v/>
      </c>
      <c r="L111">
        <f>IFERROR(D111/C111,"")</f>
        <v/>
      </c>
      <c r="M111">
        <f>IFERROR(E111/F111,"")</f>
        <v/>
      </c>
      <c r="N111" t="inlineStr"/>
      <c r="O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>
        <f>G112-H112</f>
        <v/>
      </c>
      <c r="J112">
        <f>IFERROR(G112/E112,"")</f>
        <v/>
      </c>
      <c r="K112">
        <f>IFERROR(H112/G112,"")</f>
        <v/>
      </c>
      <c r="L112">
        <f>IFERROR(D112/C112,"")</f>
        <v/>
      </c>
      <c r="M112">
        <f>IFERROR(E112/F112,"")</f>
        <v/>
      </c>
      <c r="N112" t="inlineStr"/>
      <c r="O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>
        <f>G113-H113</f>
        <v/>
      </c>
      <c r="J113">
        <f>IFERROR(G113/E113,"")</f>
        <v/>
      </c>
      <c r="K113">
        <f>IFERROR(H113/G113,"")</f>
        <v/>
      </c>
      <c r="L113">
        <f>IFERROR(D113/C113,"")</f>
        <v/>
      </c>
      <c r="M113">
        <f>IFERROR(E113/F113,"")</f>
        <v/>
      </c>
      <c r="N113" t="inlineStr"/>
      <c r="O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>
        <f>G114-H114</f>
        <v/>
      </c>
      <c r="J114">
        <f>IFERROR(G114/E114,"")</f>
        <v/>
      </c>
      <c r="K114">
        <f>IFERROR(H114/G114,"")</f>
        <v/>
      </c>
      <c r="L114">
        <f>IFERROR(D114/C114,"")</f>
        <v/>
      </c>
      <c r="M114">
        <f>IFERROR(E114/F114,"")</f>
        <v/>
      </c>
      <c r="N114" t="inlineStr"/>
      <c r="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>
        <f>G115-H115</f>
        <v/>
      </c>
      <c r="J115">
        <f>IFERROR(G115/E115,"")</f>
        <v/>
      </c>
      <c r="K115">
        <f>IFERROR(H115/G115,"")</f>
        <v/>
      </c>
      <c r="L115">
        <f>IFERROR(D115/C115,"")</f>
        <v/>
      </c>
      <c r="M115">
        <f>IFERROR(E115/F115,"")</f>
        <v/>
      </c>
      <c r="N115" t="inlineStr"/>
      <c r="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>
        <f>G116-H116</f>
        <v/>
      </c>
      <c r="J116">
        <f>IFERROR(G116/E116,"")</f>
        <v/>
      </c>
      <c r="K116">
        <f>IFERROR(H116/G116,"")</f>
        <v/>
      </c>
      <c r="L116">
        <f>IFERROR(D116/C116,"")</f>
        <v/>
      </c>
      <c r="M116">
        <f>IFERROR(E116/F116,"")</f>
        <v/>
      </c>
      <c r="N116" t="inlineStr"/>
      <c r="O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>
        <f>G117-H117</f>
        <v/>
      </c>
      <c r="J117">
        <f>IFERROR(G117/E117,"")</f>
        <v/>
      </c>
      <c r="K117">
        <f>IFERROR(H117/G117,"")</f>
        <v/>
      </c>
      <c r="L117">
        <f>IFERROR(D117/C117,"")</f>
        <v/>
      </c>
      <c r="M117">
        <f>IFERROR(E117/F117,"")</f>
        <v/>
      </c>
      <c r="N117" t="inlineStr"/>
      <c r="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>
        <f>G118-H118</f>
        <v/>
      </c>
      <c r="J118">
        <f>IFERROR(G118/E118,"")</f>
        <v/>
      </c>
      <c r="K118">
        <f>IFERROR(H118/G118,"")</f>
        <v/>
      </c>
      <c r="L118">
        <f>IFERROR(D118/C118,"")</f>
        <v/>
      </c>
      <c r="M118">
        <f>IFERROR(E118/F118,"")</f>
        <v/>
      </c>
      <c r="N118" t="inlineStr"/>
      <c r="O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>
        <f>G119-H119</f>
        <v/>
      </c>
      <c r="J119">
        <f>IFERROR(G119/E119,"")</f>
        <v/>
      </c>
      <c r="K119">
        <f>IFERROR(H119/G119,"")</f>
        <v/>
      </c>
      <c r="L119">
        <f>IFERROR(D119/C119,"")</f>
        <v/>
      </c>
      <c r="M119">
        <f>IFERROR(E119/F119,"")</f>
        <v/>
      </c>
      <c r="N119" t="inlineStr"/>
      <c r="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>
        <f>G120-H120</f>
        <v/>
      </c>
      <c r="J120">
        <f>IFERROR(G120/E120,"")</f>
        <v/>
      </c>
      <c r="K120">
        <f>IFERROR(H120/G120,"")</f>
        <v/>
      </c>
      <c r="L120">
        <f>IFERROR(D120/C120,"")</f>
        <v/>
      </c>
      <c r="M120">
        <f>IFERROR(E120/F120,"")</f>
        <v/>
      </c>
      <c r="N120" t="inlineStr"/>
      <c r="O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>
        <f>G121-H121</f>
        <v/>
      </c>
      <c r="J121">
        <f>IFERROR(G121/E121,"")</f>
        <v/>
      </c>
      <c r="K121">
        <f>IFERROR(H121/G121,"")</f>
        <v/>
      </c>
      <c r="L121">
        <f>IFERROR(D121/C121,"")</f>
        <v/>
      </c>
      <c r="M121">
        <f>IFERROR(E121/F121,"")</f>
        <v/>
      </c>
      <c r="N121" t="inlineStr"/>
      <c r="O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>
        <f>G122-H122</f>
        <v/>
      </c>
      <c r="J122">
        <f>IFERROR(G122/E122,"")</f>
        <v/>
      </c>
      <c r="K122">
        <f>IFERROR(H122/G122,"")</f>
        <v/>
      </c>
      <c r="L122">
        <f>IFERROR(D122/C122,"")</f>
        <v/>
      </c>
      <c r="M122">
        <f>IFERROR(E122/F122,"")</f>
        <v/>
      </c>
      <c r="N122" t="inlineStr"/>
      <c r="O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>
        <f>G123-H123</f>
        <v/>
      </c>
      <c r="J123">
        <f>IFERROR(G123/E123,"")</f>
        <v/>
      </c>
      <c r="K123">
        <f>IFERROR(H123/G123,"")</f>
        <v/>
      </c>
      <c r="L123">
        <f>IFERROR(D123/C123,"")</f>
        <v/>
      </c>
      <c r="M123">
        <f>IFERROR(E123/F123,"")</f>
        <v/>
      </c>
      <c r="N123" t="inlineStr"/>
      <c r="O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>
        <f>G124-H124</f>
        <v/>
      </c>
      <c r="J124">
        <f>IFERROR(G124/E124,"")</f>
        <v/>
      </c>
      <c r="K124">
        <f>IFERROR(H124/G124,"")</f>
        <v/>
      </c>
      <c r="L124">
        <f>IFERROR(D124/C124,"")</f>
        <v/>
      </c>
      <c r="M124">
        <f>IFERROR(E124/F124,"")</f>
        <v/>
      </c>
      <c r="N124" t="inlineStr"/>
      <c r="O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>
        <f>G125-H125</f>
        <v/>
      </c>
      <c r="J125">
        <f>IFERROR(G125/E125,"")</f>
        <v/>
      </c>
      <c r="K125">
        <f>IFERROR(H125/G125,"")</f>
        <v/>
      </c>
      <c r="L125">
        <f>IFERROR(D125/C125,"")</f>
        <v/>
      </c>
      <c r="M125">
        <f>IFERROR(E125/F125,"")</f>
        <v/>
      </c>
      <c r="N125" t="inlineStr"/>
      <c r="O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>
        <f>G126-H126</f>
        <v/>
      </c>
      <c r="J126">
        <f>IFERROR(G126/E126,"")</f>
        <v/>
      </c>
      <c r="K126">
        <f>IFERROR(H126/G126,"")</f>
        <v/>
      </c>
      <c r="L126">
        <f>IFERROR(D126/C126,"")</f>
        <v/>
      </c>
      <c r="M126">
        <f>IFERROR(E126/F126,"")</f>
        <v/>
      </c>
      <c r="N126" t="inlineStr"/>
      <c r="O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>
        <f>G127-H127</f>
        <v/>
      </c>
      <c r="J127">
        <f>IFERROR(G127/E127,"")</f>
        <v/>
      </c>
      <c r="K127">
        <f>IFERROR(H127/G127,"")</f>
        <v/>
      </c>
      <c r="L127">
        <f>IFERROR(D127/C127,"")</f>
        <v/>
      </c>
      <c r="M127">
        <f>IFERROR(E127/F127,"")</f>
        <v/>
      </c>
      <c r="N127" t="inlineStr"/>
      <c r="O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>
        <f>G128-H128</f>
        <v/>
      </c>
      <c r="J128">
        <f>IFERROR(G128/E128,"")</f>
        <v/>
      </c>
      <c r="K128">
        <f>IFERROR(H128/G128,"")</f>
        <v/>
      </c>
      <c r="L128">
        <f>IFERROR(D128/C128,"")</f>
        <v/>
      </c>
      <c r="M128">
        <f>IFERROR(E128/F128,"")</f>
        <v/>
      </c>
      <c r="N128" t="inlineStr"/>
      <c r="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>
        <f>G129-H129</f>
        <v/>
      </c>
      <c r="J129">
        <f>IFERROR(G129/E129,"")</f>
        <v/>
      </c>
      <c r="K129">
        <f>IFERROR(H129/G129,"")</f>
        <v/>
      </c>
      <c r="L129">
        <f>IFERROR(D129/C129,"")</f>
        <v/>
      </c>
      <c r="M129">
        <f>IFERROR(E129/F129,"")</f>
        <v/>
      </c>
      <c r="N129" t="inlineStr"/>
      <c r="O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>
        <f>G130-H130</f>
        <v/>
      </c>
      <c r="J130">
        <f>IFERROR(G130/E130,"")</f>
        <v/>
      </c>
      <c r="K130">
        <f>IFERROR(H130/G130,"")</f>
        <v/>
      </c>
      <c r="L130">
        <f>IFERROR(D130/C130,"")</f>
        <v/>
      </c>
      <c r="M130">
        <f>IFERROR(E130/F130,"")</f>
        <v/>
      </c>
      <c r="N130" t="inlineStr"/>
      <c r="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>
        <f>G131-H131</f>
        <v/>
      </c>
      <c r="J131">
        <f>IFERROR(G131/E131,"")</f>
        <v/>
      </c>
      <c r="K131">
        <f>IFERROR(H131/G131,"")</f>
        <v/>
      </c>
      <c r="L131">
        <f>IFERROR(D131/C131,"")</f>
        <v/>
      </c>
      <c r="M131">
        <f>IFERROR(E131/F131,"")</f>
        <v/>
      </c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>
        <f>G132-H132</f>
        <v/>
      </c>
      <c r="J132">
        <f>IFERROR(G132/E132,"")</f>
        <v/>
      </c>
      <c r="K132">
        <f>IFERROR(H132/G132,"")</f>
        <v/>
      </c>
      <c r="L132">
        <f>IFERROR(D132/C132,"")</f>
        <v/>
      </c>
      <c r="M132">
        <f>IFERROR(E132/F132,"")</f>
        <v/>
      </c>
      <c r="N132" t="inlineStr"/>
      <c r="O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>
        <f>G133-H133</f>
        <v/>
      </c>
      <c r="J133">
        <f>IFERROR(G133/E133,"")</f>
        <v/>
      </c>
      <c r="K133">
        <f>IFERROR(H133/G133,"")</f>
        <v/>
      </c>
      <c r="L133">
        <f>IFERROR(D133/C133,"")</f>
        <v/>
      </c>
      <c r="M133">
        <f>IFERROR(E133/F133,"")</f>
        <v/>
      </c>
      <c r="N133" t="inlineStr"/>
      <c r="O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>
        <f>G134-H134</f>
        <v/>
      </c>
      <c r="J134">
        <f>IFERROR(G134/E134,"")</f>
        <v/>
      </c>
      <c r="K134">
        <f>IFERROR(H134/G134,"")</f>
        <v/>
      </c>
      <c r="L134">
        <f>IFERROR(D134/C134,"")</f>
        <v/>
      </c>
      <c r="M134">
        <f>IFERROR(E134/F134,"")</f>
        <v/>
      </c>
      <c r="N134" t="inlineStr"/>
      <c r="O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>
        <f>G135-H135</f>
        <v/>
      </c>
      <c r="J135">
        <f>IFERROR(G135/E135,"")</f>
        <v/>
      </c>
      <c r="K135">
        <f>IFERROR(H135/G135,"")</f>
        <v/>
      </c>
      <c r="L135">
        <f>IFERROR(D135/C135,"")</f>
        <v/>
      </c>
      <c r="M135">
        <f>IFERROR(E135/F135,"")</f>
        <v/>
      </c>
      <c r="N135" t="inlineStr"/>
      <c r="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>
        <f>G136-H136</f>
        <v/>
      </c>
      <c r="J136">
        <f>IFERROR(G136/E136,"")</f>
        <v/>
      </c>
      <c r="K136">
        <f>IFERROR(H136/G136,"")</f>
        <v/>
      </c>
      <c r="L136">
        <f>IFERROR(D136/C136,"")</f>
        <v/>
      </c>
      <c r="M136">
        <f>IFERROR(E136/F136,"")</f>
        <v/>
      </c>
      <c r="N136" t="inlineStr"/>
      <c r="O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>
        <f>G137-H137</f>
        <v/>
      </c>
      <c r="J137">
        <f>IFERROR(G137/E137,"")</f>
        <v/>
      </c>
      <c r="K137">
        <f>IFERROR(H137/G137,"")</f>
        <v/>
      </c>
      <c r="L137">
        <f>IFERROR(D137/C137,"")</f>
        <v/>
      </c>
      <c r="M137">
        <f>IFERROR(E137/F137,"")</f>
        <v/>
      </c>
      <c r="N137" t="inlineStr"/>
      <c r="O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>
        <f>G138-H138</f>
        <v/>
      </c>
      <c r="J138">
        <f>IFERROR(G138/E138,"")</f>
        <v/>
      </c>
      <c r="K138">
        <f>IFERROR(H138/G138,"")</f>
        <v/>
      </c>
      <c r="L138">
        <f>IFERROR(D138/C138,"")</f>
        <v/>
      </c>
      <c r="M138">
        <f>IFERROR(E138/F138,"")</f>
        <v/>
      </c>
      <c r="N138" t="inlineStr"/>
      <c r="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>
        <f>G139-H139</f>
        <v/>
      </c>
      <c r="J139">
        <f>IFERROR(G139/E139,"")</f>
        <v/>
      </c>
      <c r="K139">
        <f>IFERROR(H139/G139,"")</f>
        <v/>
      </c>
      <c r="L139">
        <f>IFERROR(D139/C139,"")</f>
        <v/>
      </c>
      <c r="M139">
        <f>IFERROR(E139/F139,"")</f>
        <v/>
      </c>
      <c r="N139" t="inlineStr"/>
      <c r="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>
        <f>G140-H140</f>
        <v/>
      </c>
      <c r="J140">
        <f>IFERROR(G140/E140,"")</f>
        <v/>
      </c>
      <c r="K140">
        <f>IFERROR(H140/G140,"")</f>
        <v/>
      </c>
      <c r="L140">
        <f>IFERROR(D140/C140,"")</f>
        <v/>
      </c>
      <c r="M140">
        <f>IFERROR(E140/F140,"")</f>
        <v/>
      </c>
      <c r="N140" t="inlineStr"/>
      <c r="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>
        <f>G141-H141</f>
        <v/>
      </c>
      <c r="J141">
        <f>IFERROR(G141/E141,"")</f>
        <v/>
      </c>
      <c r="K141">
        <f>IFERROR(H141/G141,"")</f>
        <v/>
      </c>
      <c r="L141">
        <f>IFERROR(D141/C141,"")</f>
        <v/>
      </c>
      <c r="M141">
        <f>IFERROR(E141/F141,"")</f>
        <v/>
      </c>
      <c r="N141" t="inlineStr"/>
      <c r="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>
        <f>G142-H142</f>
        <v/>
      </c>
      <c r="J142">
        <f>IFERROR(G142/E142,"")</f>
        <v/>
      </c>
      <c r="K142">
        <f>IFERROR(H142/G142,"")</f>
        <v/>
      </c>
      <c r="L142">
        <f>IFERROR(D142/C142,"")</f>
        <v/>
      </c>
      <c r="M142">
        <f>IFERROR(E142/F142,"")</f>
        <v/>
      </c>
      <c r="N142" t="inlineStr"/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>
        <f>G143-H143</f>
        <v/>
      </c>
      <c r="J143">
        <f>IFERROR(G143/E143,"")</f>
        <v/>
      </c>
      <c r="K143">
        <f>IFERROR(H143/G143,"")</f>
        <v/>
      </c>
      <c r="L143">
        <f>IFERROR(D143/C143,"")</f>
        <v/>
      </c>
      <c r="M143">
        <f>IFERROR(E143/F143,"")</f>
        <v/>
      </c>
      <c r="N143" t="inlineStr"/>
      <c r="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>
        <f>G144-H144</f>
        <v/>
      </c>
      <c r="J144">
        <f>IFERROR(G144/E144,"")</f>
        <v/>
      </c>
      <c r="K144">
        <f>IFERROR(H144/G144,"")</f>
        <v/>
      </c>
      <c r="L144">
        <f>IFERROR(D144/C144,"")</f>
        <v/>
      </c>
      <c r="M144">
        <f>IFERROR(E144/F144,"")</f>
        <v/>
      </c>
      <c r="N144" t="inlineStr"/>
      <c r="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>
        <f>G145-H145</f>
        <v/>
      </c>
      <c r="J145">
        <f>IFERROR(G145/E145,"")</f>
        <v/>
      </c>
      <c r="K145">
        <f>IFERROR(H145/G145,"")</f>
        <v/>
      </c>
      <c r="L145">
        <f>IFERROR(D145/C145,"")</f>
        <v/>
      </c>
      <c r="M145">
        <f>IFERROR(E145/F145,"")</f>
        <v/>
      </c>
      <c r="N145" t="inlineStr"/>
      <c r="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>
        <f>G146-H146</f>
        <v/>
      </c>
      <c r="J146">
        <f>IFERROR(G146/E146,"")</f>
        <v/>
      </c>
      <c r="K146">
        <f>IFERROR(H146/G146,"")</f>
        <v/>
      </c>
      <c r="L146">
        <f>IFERROR(D146/C146,"")</f>
        <v/>
      </c>
      <c r="M146">
        <f>IFERROR(E146/F146,"")</f>
        <v/>
      </c>
      <c r="N146" t="inlineStr"/>
      <c r="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>
        <f>G147-H147</f>
        <v/>
      </c>
      <c r="J147">
        <f>IFERROR(G147/E147,"")</f>
        <v/>
      </c>
      <c r="K147">
        <f>IFERROR(H147/G147,"")</f>
        <v/>
      </c>
      <c r="L147">
        <f>IFERROR(D147/C147,"")</f>
        <v/>
      </c>
      <c r="M147">
        <f>IFERROR(E147/F147,"")</f>
        <v/>
      </c>
      <c r="N147" t="inlineStr"/>
      <c r="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>
        <f>G148-H148</f>
        <v/>
      </c>
      <c r="J148">
        <f>IFERROR(G148/E148,"")</f>
        <v/>
      </c>
      <c r="K148">
        <f>IFERROR(H148/G148,"")</f>
        <v/>
      </c>
      <c r="L148">
        <f>IFERROR(D148/C148,"")</f>
        <v/>
      </c>
      <c r="M148">
        <f>IFERROR(E148/F148,"")</f>
        <v/>
      </c>
      <c r="N148" t="inlineStr"/>
      <c r="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>
        <f>G149-H149</f>
        <v/>
      </c>
      <c r="J149">
        <f>IFERROR(G149/E149,"")</f>
        <v/>
      </c>
      <c r="K149">
        <f>IFERROR(H149/G149,"")</f>
        <v/>
      </c>
      <c r="L149">
        <f>IFERROR(D149/C149,"")</f>
        <v/>
      </c>
      <c r="M149">
        <f>IFERROR(E149/F149,"")</f>
        <v/>
      </c>
      <c r="N149" t="inlineStr"/>
      <c r="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>
        <f>G150-H150</f>
        <v/>
      </c>
      <c r="J150">
        <f>IFERROR(G150/E150,"")</f>
        <v/>
      </c>
      <c r="K150">
        <f>IFERROR(H150/G150,"")</f>
        <v/>
      </c>
      <c r="L150">
        <f>IFERROR(D150/C150,"")</f>
        <v/>
      </c>
      <c r="M150">
        <f>IFERROR(E150/F150,"")</f>
        <v/>
      </c>
      <c r="N150" t="inlineStr"/>
      <c r="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>
        <f>G151-H151</f>
        <v/>
      </c>
      <c r="J151">
        <f>IFERROR(G151/E151,"")</f>
        <v/>
      </c>
      <c r="K151">
        <f>IFERROR(H151/G151,"")</f>
        <v/>
      </c>
      <c r="L151">
        <f>IFERROR(D151/C151,"")</f>
        <v/>
      </c>
      <c r="M151">
        <f>IFERROR(E151/F151,"")</f>
        <v/>
      </c>
      <c r="N151" t="inlineStr"/>
      <c r="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>
        <f>G152-H152</f>
        <v/>
      </c>
      <c r="J152">
        <f>IFERROR(G152/E152,"")</f>
        <v/>
      </c>
      <c r="K152">
        <f>IFERROR(H152/G152,"")</f>
        <v/>
      </c>
      <c r="L152">
        <f>IFERROR(D152/C152,"")</f>
        <v/>
      </c>
      <c r="M152">
        <f>IFERROR(E152/F152,"")</f>
        <v/>
      </c>
      <c r="N152" t="inlineStr"/>
      <c r="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>
        <f>G153-H153</f>
        <v/>
      </c>
      <c r="J153">
        <f>IFERROR(G153/E153,"")</f>
        <v/>
      </c>
      <c r="K153">
        <f>IFERROR(H153/G153,"")</f>
        <v/>
      </c>
      <c r="L153">
        <f>IFERROR(D153/C153,"")</f>
        <v/>
      </c>
      <c r="M153">
        <f>IFERROR(E153/F153,"")</f>
        <v/>
      </c>
      <c r="N153" t="inlineStr"/>
      <c r="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>
        <f>G154-H154</f>
        <v/>
      </c>
      <c r="J154">
        <f>IFERROR(G154/E154,"")</f>
        <v/>
      </c>
      <c r="K154">
        <f>IFERROR(H154/G154,"")</f>
        <v/>
      </c>
      <c r="L154">
        <f>IFERROR(D154/C154,"")</f>
        <v/>
      </c>
      <c r="M154">
        <f>IFERROR(E154/F154,"")</f>
        <v/>
      </c>
      <c r="N154" t="inlineStr"/>
      <c r="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>
        <f>G155-H155</f>
        <v/>
      </c>
      <c r="J155">
        <f>IFERROR(G155/E155,"")</f>
        <v/>
      </c>
      <c r="K155">
        <f>IFERROR(H155/G155,"")</f>
        <v/>
      </c>
      <c r="L155">
        <f>IFERROR(D155/C155,"")</f>
        <v/>
      </c>
      <c r="M155">
        <f>IFERROR(E155/F155,"")</f>
        <v/>
      </c>
      <c r="N155" t="inlineStr"/>
      <c r="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>
        <f>G156-H156</f>
        <v/>
      </c>
      <c r="J156">
        <f>IFERROR(G156/E156,"")</f>
        <v/>
      </c>
      <c r="K156">
        <f>IFERROR(H156/G156,"")</f>
        <v/>
      </c>
      <c r="L156">
        <f>IFERROR(D156/C156,"")</f>
        <v/>
      </c>
      <c r="M156">
        <f>IFERROR(E156/F156,"")</f>
        <v/>
      </c>
      <c r="N156" t="inlineStr"/>
      <c r="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>
        <f>G157-H157</f>
        <v/>
      </c>
      <c r="J157">
        <f>IFERROR(G157/E157,"")</f>
        <v/>
      </c>
      <c r="K157">
        <f>IFERROR(H157/G157,"")</f>
        <v/>
      </c>
      <c r="L157">
        <f>IFERROR(D157/C157,"")</f>
        <v/>
      </c>
      <c r="M157">
        <f>IFERROR(E157/F157,"")</f>
        <v/>
      </c>
      <c r="N157" t="inlineStr"/>
      <c r="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>
        <f>G158-H158</f>
        <v/>
      </c>
      <c r="J158">
        <f>IFERROR(G158/E158,"")</f>
        <v/>
      </c>
      <c r="K158">
        <f>IFERROR(H158/G158,"")</f>
        <v/>
      </c>
      <c r="L158">
        <f>IFERROR(D158/C158,"")</f>
        <v/>
      </c>
      <c r="M158">
        <f>IFERROR(E158/F158,"")</f>
        <v/>
      </c>
      <c r="N158" t="inlineStr"/>
      <c r="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>
        <f>G159-H159</f>
        <v/>
      </c>
      <c r="J159">
        <f>IFERROR(G159/E159,"")</f>
        <v/>
      </c>
      <c r="K159">
        <f>IFERROR(H159/G159,"")</f>
        <v/>
      </c>
      <c r="L159">
        <f>IFERROR(D159/C159,"")</f>
        <v/>
      </c>
      <c r="M159">
        <f>IFERROR(E159/F159,"")</f>
        <v/>
      </c>
      <c r="N159" t="inlineStr"/>
      <c r="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>
        <f>G160-H160</f>
        <v/>
      </c>
      <c r="J160">
        <f>IFERROR(G160/E160,"")</f>
        <v/>
      </c>
      <c r="K160">
        <f>IFERROR(H160/G160,"")</f>
        <v/>
      </c>
      <c r="L160">
        <f>IFERROR(D160/C160,"")</f>
        <v/>
      </c>
      <c r="M160">
        <f>IFERROR(E160/F160,"")</f>
        <v/>
      </c>
      <c r="N160" t="inlineStr"/>
      <c r="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>
        <f>G161-H161</f>
        <v/>
      </c>
      <c r="J161">
        <f>IFERROR(G161/E161,"")</f>
        <v/>
      </c>
      <c r="K161">
        <f>IFERROR(H161/G161,"")</f>
        <v/>
      </c>
      <c r="L161">
        <f>IFERROR(D161/C161,"")</f>
        <v/>
      </c>
      <c r="M161">
        <f>IFERROR(E161/F161,"")</f>
        <v/>
      </c>
      <c r="N161" t="inlineStr"/>
      <c r="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>
        <f>G162-H162</f>
        <v/>
      </c>
      <c r="J162">
        <f>IFERROR(G162/E162,"")</f>
        <v/>
      </c>
      <c r="K162">
        <f>IFERROR(H162/G162,"")</f>
        <v/>
      </c>
      <c r="L162">
        <f>IFERROR(D162/C162,"")</f>
        <v/>
      </c>
      <c r="M162">
        <f>IFERROR(E162/F162,"")</f>
        <v/>
      </c>
      <c r="N162" t="inlineStr"/>
      <c r="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>
        <f>G163-H163</f>
        <v/>
      </c>
      <c r="J163">
        <f>IFERROR(G163/E163,"")</f>
        <v/>
      </c>
      <c r="K163">
        <f>IFERROR(H163/G163,"")</f>
        <v/>
      </c>
      <c r="L163">
        <f>IFERROR(D163/C163,"")</f>
        <v/>
      </c>
      <c r="M163">
        <f>IFERROR(E163/F163,"")</f>
        <v/>
      </c>
      <c r="N163" t="inlineStr"/>
      <c r="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>
        <f>G164-H164</f>
        <v/>
      </c>
      <c r="J164">
        <f>IFERROR(G164/E164,"")</f>
        <v/>
      </c>
      <c r="K164">
        <f>IFERROR(H164/G164,"")</f>
        <v/>
      </c>
      <c r="L164">
        <f>IFERROR(D164/C164,"")</f>
        <v/>
      </c>
      <c r="M164">
        <f>IFERROR(E164/F164,"")</f>
        <v/>
      </c>
      <c r="N164" t="inlineStr"/>
      <c r="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>
        <f>G165-H165</f>
        <v/>
      </c>
      <c r="J165">
        <f>IFERROR(G165/E165,"")</f>
        <v/>
      </c>
      <c r="K165">
        <f>IFERROR(H165/G165,"")</f>
        <v/>
      </c>
      <c r="L165">
        <f>IFERROR(D165/C165,"")</f>
        <v/>
      </c>
      <c r="M165">
        <f>IFERROR(E165/F165,"")</f>
        <v/>
      </c>
      <c r="N165" t="inlineStr"/>
      <c r="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>
        <f>G166-H166</f>
        <v/>
      </c>
      <c r="J166">
        <f>IFERROR(G166/E166,"")</f>
        <v/>
      </c>
      <c r="K166">
        <f>IFERROR(H166/G166,"")</f>
        <v/>
      </c>
      <c r="L166">
        <f>IFERROR(D166/C166,"")</f>
        <v/>
      </c>
      <c r="M166">
        <f>IFERROR(E166/F166,"")</f>
        <v/>
      </c>
      <c r="N166" t="inlineStr"/>
      <c r="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>
        <f>G167-H167</f>
        <v/>
      </c>
      <c r="J167">
        <f>IFERROR(G167/E167,"")</f>
        <v/>
      </c>
      <c r="K167">
        <f>IFERROR(H167/G167,"")</f>
        <v/>
      </c>
      <c r="L167">
        <f>IFERROR(D167/C167,"")</f>
        <v/>
      </c>
      <c r="M167">
        <f>IFERROR(E167/F167,"")</f>
        <v/>
      </c>
      <c r="N167" t="inlineStr"/>
      <c r="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>
        <f>G168-H168</f>
        <v/>
      </c>
      <c r="J168">
        <f>IFERROR(G168/E168,"")</f>
        <v/>
      </c>
      <c r="K168">
        <f>IFERROR(H168/G168,"")</f>
        <v/>
      </c>
      <c r="L168">
        <f>IFERROR(D168/C168,"")</f>
        <v/>
      </c>
      <c r="M168">
        <f>IFERROR(E168/F168,"")</f>
        <v/>
      </c>
      <c r="N168" t="inlineStr"/>
      <c r="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>
        <f>G169-H169</f>
        <v/>
      </c>
      <c r="J169">
        <f>IFERROR(G169/E169,"")</f>
        <v/>
      </c>
      <c r="K169">
        <f>IFERROR(H169/G169,"")</f>
        <v/>
      </c>
      <c r="L169">
        <f>IFERROR(D169/C169,"")</f>
        <v/>
      </c>
      <c r="M169">
        <f>IFERROR(E169/F169,"")</f>
        <v/>
      </c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>
        <f>G170-H170</f>
        <v/>
      </c>
      <c r="J170">
        <f>IFERROR(G170/E170,"")</f>
        <v/>
      </c>
      <c r="K170">
        <f>IFERROR(H170/G170,"")</f>
        <v/>
      </c>
      <c r="L170">
        <f>IFERROR(D170/C170,"")</f>
        <v/>
      </c>
      <c r="M170">
        <f>IFERROR(E170/F170,"")</f>
        <v/>
      </c>
      <c r="N170" t="inlineStr"/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>
        <f>G171-H171</f>
        <v/>
      </c>
      <c r="J171">
        <f>IFERROR(G171/E171,"")</f>
        <v/>
      </c>
      <c r="K171">
        <f>IFERROR(H171/G171,"")</f>
        <v/>
      </c>
      <c r="L171">
        <f>IFERROR(D171/C171,"")</f>
        <v/>
      </c>
      <c r="M171">
        <f>IFERROR(E171/F171,"")</f>
        <v/>
      </c>
      <c r="N171" t="inlineStr"/>
      <c r="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>
        <f>G172-H172</f>
        <v/>
      </c>
      <c r="J172">
        <f>IFERROR(G172/E172,"")</f>
        <v/>
      </c>
      <c r="K172">
        <f>IFERROR(H172/G172,"")</f>
        <v/>
      </c>
      <c r="L172">
        <f>IFERROR(D172/C172,"")</f>
        <v/>
      </c>
      <c r="M172">
        <f>IFERROR(E172/F172,"")</f>
        <v/>
      </c>
      <c r="N172" t="inlineStr"/>
      <c r="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>
        <f>G173-H173</f>
        <v/>
      </c>
      <c r="J173">
        <f>IFERROR(G173/E173,"")</f>
        <v/>
      </c>
      <c r="K173">
        <f>IFERROR(H173/G173,"")</f>
        <v/>
      </c>
      <c r="L173">
        <f>IFERROR(D173/C173,"")</f>
        <v/>
      </c>
      <c r="M173">
        <f>IFERROR(E173/F173,"")</f>
        <v/>
      </c>
      <c r="N173" t="inlineStr"/>
      <c r="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>
        <f>G174-H174</f>
        <v/>
      </c>
      <c r="J174">
        <f>IFERROR(G174/E174,"")</f>
        <v/>
      </c>
      <c r="K174">
        <f>IFERROR(H174/G174,"")</f>
        <v/>
      </c>
      <c r="L174">
        <f>IFERROR(D174/C174,"")</f>
        <v/>
      </c>
      <c r="M174">
        <f>IFERROR(E174/F174,"")</f>
        <v/>
      </c>
      <c r="N174" t="inlineStr"/>
      <c r="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>
        <f>G175-H175</f>
        <v/>
      </c>
      <c r="J175">
        <f>IFERROR(G175/E175,"")</f>
        <v/>
      </c>
      <c r="K175">
        <f>IFERROR(H175/G175,"")</f>
        <v/>
      </c>
      <c r="L175">
        <f>IFERROR(D175/C175,"")</f>
        <v/>
      </c>
      <c r="M175">
        <f>IFERROR(E175/F175,"")</f>
        <v/>
      </c>
      <c r="N175" t="inlineStr"/>
      <c r="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>
        <f>G176-H176</f>
        <v/>
      </c>
      <c r="J176">
        <f>IFERROR(G176/E176,"")</f>
        <v/>
      </c>
      <c r="K176">
        <f>IFERROR(H176/G176,"")</f>
        <v/>
      </c>
      <c r="L176">
        <f>IFERROR(D176/C176,"")</f>
        <v/>
      </c>
      <c r="M176">
        <f>IFERROR(E176/F176,"")</f>
        <v/>
      </c>
      <c r="N176" t="inlineStr"/>
      <c r="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>
        <f>G177-H177</f>
        <v/>
      </c>
      <c r="J177">
        <f>IFERROR(G177/E177,"")</f>
        <v/>
      </c>
      <c r="K177">
        <f>IFERROR(H177/G177,"")</f>
        <v/>
      </c>
      <c r="L177">
        <f>IFERROR(D177/C177,"")</f>
        <v/>
      </c>
      <c r="M177">
        <f>IFERROR(E177/F177,"")</f>
        <v/>
      </c>
      <c r="N177" t="inlineStr"/>
      <c r="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>
        <f>G178-H178</f>
        <v/>
      </c>
      <c r="J178">
        <f>IFERROR(G178/E178,"")</f>
        <v/>
      </c>
      <c r="K178">
        <f>IFERROR(H178/G178,"")</f>
        <v/>
      </c>
      <c r="L178">
        <f>IFERROR(D178/C178,"")</f>
        <v/>
      </c>
      <c r="M178">
        <f>IFERROR(E178/F178,"")</f>
        <v/>
      </c>
      <c r="N178" t="inlineStr"/>
      <c r="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>
        <f>G179-H179</f>
        <v/>
      </c>
      <c r="J179">
        <f>IFERROR(G179/E179,"")</f>
        <v/>
      </c>
      <c r="K179">
        <f>IFERROR(H179/G179,"")</f>
        <v/>
      </c>
      <c r="L179">
        <f>IFERROR(D179/C179,"")</f>
        <v/>
      </c>
      <c r="M179">
        <f>IFERROR(E179/F179,"")</f>
        <v/>
      </c>
      <c r="N179" t="inlineStr"/>
      <c r="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>
        <f>G180-H180</f>
        <v/>
      </c>
      <c r="J180">
        <f>IFERROR(G180/E180,"")</f>
        <v/>
      </c>
      <c r="K180">
        <f>IFERROR(H180/G180,"")</f>
        <v/>
      </c>
      <c r="L180">
        <f>IFERROR(D180/C180,"")</f>
        <v/>
      </c>
      <c r="M180">
        <f>IFERROR(E180/F180,"")</f>
        <v/>
      </c>
      <c r="N180" t="inlineStr"/>
      <c r="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>
        <f>G181-H181</f>
        <v/>
      </c>
      <c r="J181">
        <f>IFERROR(G181/E181,"")</f>
        <v/>
      </c>
      <c r="K181">
        <f>IFERROR(H181/G181,"")</f>
        <v/>
      </c>
      <c r="L181">
        <f>IFERROR(D181/C181,"")</f>
        <v/>
      </c>
      <c r="M181">
        <f>IFERROR(E181/F181,"")</f>
        <v/>
      </c>
      <c r="N181" t="inlineStr"/>
      <c r="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>
        <f>G182-H182</f>
        <v/>
      </c>
      <c r="J182">
        <f>IFERROR(G182/E182,"")</f>
        <v/>
      </c>
      <c r="K182">
        <f>IFERROR(H182/G182,"")</f>
        <v/>
      </c>
      <c r="L182">
        <f>IFERROR(D182/C182,"")</f>
        <v/>
      </c>
      <c r="M182">
        <f>IFERROR(E182/F182,"")</f>
        <v/>
      </c>
      <c r="N182" t="inlineStr"/>
      <c r="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>
        <f>G183-H183</f>
        <v/>
      </c>
      <c r="J183">
        <f>IFERROR(G183/E183,"")</f>
        <v/>
      </c>
      <c r="K183">
        <f>IFERROR(H183/G183,"")</f>
        <v/>
      </c>
      <c r="L183">
        <f>IFERROR(D183/C183,"")</f>
        <v/>
      </c>
      <c r="M183">
        <f>IFERROR(E183/F183,"")</f>
        <v/>
      </c>
      <c r="N183" t="inlineStr"/>
      <c r="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>
        <f>G184-H184</f>
        <v/>
      </c>
      <c r="J184">
        <f>IFERROR(G184/E184,"")</f>
        <v/>
      </c>
      <c r="K184">
        <f>IFERROR(H184/G184,"")</f>
        <v/>
      </c>
      <c r="L184">
        <f>IFERROR(D184/C184,"")</f>
        <v/>
      </c>
      <c r="M184">
        <f>IFERROR(E184/F184,"")</f>
        <v/>
      </c>
      <c r="N184" t="inlineStr"/>
      <c r="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>
        <f>G185-H185</f>
        <v/>
      </c>
      <c r="J185">
        <f>IFERROR(G185/E185,"")</f>
        <v/>
      </c>
      <c r="K185">
        <f>IFERROR(H185/G185,"")</f>
        <v/>
      </c>
      <c r="L185">
        <f>IFERROR(D185/C185,"")</f>
        <v/>
      </c>
      <c r="M185">
        <f>IFERROR(E185/F185,"")</f>
        <v/>
      </c>
      <c r="N185" t="inlineStr"/>
      <c r="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>
        <f>G186-H186</f>
        <v/>
      </c>
      <c r="J186">
        <f>IFERROR(G186/E186,"")</f>
        <v/>
      </c>
      <c r="K186">
        <f>IFERROR(H186/G186,"")</f>
        <v/>
      </c>
      <c r="L186">
        <f>IFERROR(D186/C186,"")</f>
        <v/>
      </c>
      <c r="M186">
        <f>IFERROR(E186/F186,"")</f>
        <v/>
      </c>
      <c r="N186" t="inlineStr"/>
      <c r="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>
        <f>G187-H187</f>
        <v/>
      </c>
      <c r="J187">
        <f>IFERROR(G187/E187,"")</f>
        <v/>
      </c>
      <c r="K187">
        <f>IFERROR(H187/G187,"")</f>
        <v/>
      </c>
      <c r="L187">
        <f>IFERROR(D187/C187,"")</f>
        <v/>
      </c>
      <c r="M187">
        <f>IFERROR(E187/F187,"")</f>
        <v/>
      </c>
      <c r="N187" t="inlineStr"/>
      <c r="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>
        <f>G188-H188</f>
        <v/>
      </c>
      <c r="J188">
        <f>IFERROR(G188/E188,"")</f>
        <v/>
      </c>
      <c r="K188">
        <f>IFERROR(H188/G188,"")</f>
        <v/>
      </c>
      <c r="L188">
        <f>IFERROR(D188/C188,"")</f>
        <v/>
      </c>
      <c r="M188">
        <f>IFERROR(E188/F188,"")</f>
        <v/>
      </c>
      <c r="N188" t="inlineStr"/>
      <c r="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>
        <f>G189-H189</f>
        <v/>
      </c>
      <c r="J189">
        <f>IFERROR(G189/E189,"")</f>
        <v/>
      </c>
      <c r="K189">
        <f>IFERROR(H189/G189,"")</f>
        <v/>
      </c>
      <c r="L189">
        <f>IFERROR(D189/C189,"")</f>
        <v/>
      </c>
      <c r="M189">
        <f>IFERROR(E189/F189,"")</f>
        <v/>
      </c>
      <c r="N189" t="inlineStr"/>
      <c r="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>
        <f>G190-H190</f>
        <v/>
      </c>
      <c r="J190">
        <f>IFERROR(G190/E190,"")</f>
        <v/>
      </c>
      <c r="K190">
        <f>IFERROR(H190/G190,"")</f>
        <v/>
      </c>
      <c r="L190">
        <f>IFERROR(D190/C190,"")</f>
        <v/>
      </c>
      <c r="M190">
        <f>IFERROR(E190/F190,"")</f>
        <v/>
      </c>
      <c r="N190" t="inlineStr"/>
      <c r="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>
        <f>G191-H191</f>
        <v/>
      </c>
      <c r="J191">
        <f>IFERROR(G191/E191,"")</f>
        <v/>
      </c>
      <c r="K191">
        <f>IFERROR(H191/G191,"")</f>
        <v/>
      </c>
      <c r="L191">
        <f>IFERROR(D191/C191,"")</f>
        <v/>
      </c>
      <c r="M191">
        <f>IFERROR(E191/F191,"")</f>
        <v/>
      </c>
      <c r="N191" t="inlineStr"/>
      <c r="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>
        <f>G192-H192</f>
        <v/>
      </c>
      <c r="J192">
        <f>IFERROR(G192/E192,"")</f>
        <v/>
      </c>
      <c r="K192">
        <f>IFERROR(H192/G192,"")</f>
        <v/>
      </c>
      <c r="L192">
        <f>IFERROR(D192/C192,"")</f>
        <v/>
      </c>
      <c r="M192">
        <f>IFERROR(E192/F192,"")</f>
        <v/>
      </c>
      <c r="N192" t="inlineStr"/>
      <c r="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>
        <f>G193-H193</f>
        <v/>
      </c>
      <c r="J193">
        <f>IFERROR(G193/E193,"")</f>
        <v/>
      </c>
      <c r="K193">
        <f>IFERROR(H193/G193,"")</f>
        <v/>
      </c>
      <c r="L193">
        <f>IFERROR(D193/C193,"")</f>
        <v/>
      </c>
      <c r="M193">
        <f>IFERROR(E193/F193,"")</f>
        <v/>
      </c>
      <c r="N193" t="inlineStr"/>
      <c r="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>
        <f>G194-H194</f>
        <v/>
      </c>
      <c r="J194">
        <f>IFERROR(G194/E194,"")</f>
        <v/>
      </c>
      <c r="K194">
        <f>IFERROR(H194/G194,"")</f>
        <v/>
      </c>
      <c r="L194">
        <f>IFERROR(D194/C194,"")</f>
        <v/>
      </c>
      <c r="M194">
        <f>IFERROR(E194/F194,"")</f>
        <v/>
      </c>
      <c r="N194" t="inlineStr"/>
      <c r="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>
        <f>G195-H195</f>
        <v/>
      </c>
      <c r="J195">
        <f>IFERROR(G195/E195,"")</f>
        <v/>
      </c>
      <c r="K195">
        <f>IFERROR(H195/G195,"")</f>
        <v/>
      </c>
      <c r="L195">
        <f>IFERROR(D195/C195,"")</f>
        <v/>
      </c>
      <c r="M195">
        <f>IFERROR(E195/F195,"")</f>
        <v/>
      </c>
      <c r="N195" t="inlineStr"/>
      <c r="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>
        <f>G196-H196</f>
        <v/>
      </c>
      <c r="J196">
        <f>IFERROR(G196/E196,"")</f>
        <v/>
      </c>
      <c r="K196">
        <f>IFERROR(H196/G196,"")</f>
        <v/>
      </c>
      <c r="L196">
        <f>IFERROR(D196/C196,"")</f>
        <v/>
      </c>
      <c r="M196">
        <f>IFERROR(E196/F196,"")</f>
        <v/>
      </c>
      <c r="N196" t="inlineStr"/>
      <c r="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>
        <f>G197-H197</f>
        <v/>
      </c>
      <c r="J197">
        <f>IFERROR(G197/E197,"")</f>
        <v/>
      </c>
      <c r="K197">
        <f>IFERROR(H197/G197,"")</f>
        <v/>
      </c>
      <c r="L197">
        <f>IFERROR(D197/C197,"")</f>
        <v/>
      </c>
      <c r="M197">
        <f>IFERROR(E197/F197,"")</f>
        <v/>
      </c>
      <c r="N197" t="inlineStr"/>
      <c r="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>
        <f>G198-H198</f>
        <v/>
      </c>
      <c r="J198">
        <f>IFERROR(G198/E198,"")</f>
        <v/>
      </c>
      <c r="K198">
        <f>IFERROR(H198/G198,"")</f>
        <v/>
      </c>
      <c r="L198">
        <f>IFERROR(D198/C198,"")</f>
        <v/>
      </c>
      <c r="M198">
        <f>IFERROR(E198/F198,"")</f>
        <v/>
      </c>
      <c r="N198" t="inlineStr"/>
      <c r="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>
        <f>G199-H199</f>
        <v/>
      </c>
      <c r="J199">
        <f>IFERROR(G199/E199,"")</f>
        <v/>
      </c>
      <c r="K199">
        <f>IFERROR(H199/G199,"")</f>
        <v/>
      </c>
      <c r="L199">
        <f>IFERROR(D199/C199,"")</f>
        <v/>
      </c>
      <c r="M199">
        <f>IFERROR(E199/F199,"")</f>
        <v/>
      </c>
      <c r="N199" t="inlineStr"/>
      <c r="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>
        <f>G200-H200</f>
        <v/>
      </c>
      <c r="J200">
        <f>IFERROR(G200/E200,"")</f>
        <v/>
      </c>
      <c r="K200">
        <f>IFERROR(H200/G200,"")</f>
        <v/>
      </c>
      <c r="L200">
        <f>IFERROR(D200/C200,"")</f>
        <v/>
      </c>
      <c r="M200">
        <f>IFERROR(E200/F200,"")</f>
        <v/>
      </c>
      <c r="N200" t="inlineStr"/>
      <c r="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>
        <f>G201-H201</f>
        <v/>
      </c>
      <c r="J201">
        <f>IFERROR(G201/E201,"")</f>
        <v/>
      </c>
      <c r="K201">
        <f>IFERROR(H201/G201,"")</f>
        <v/>
      </c>
      <c r="L201">
        <f>IFERROR(D201/C201,"")</f>
        <v/>
      </c>
      <c r="M201">
        <f>IFERROR(E201/F201,"")</f>
        <v/>
      </c>
      <c r="N201" t="inlineStr"/>
      <c r="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>
        <f>G202-H202</f>
        <v/>
      </c>
      <c r="J202">
        <f>IFERROR(G202/E202,"")</f>
        <v/>
      </c>
      <c r="K202">
        <f>IFERROR(H202/G202,"")</f>
        <v/>
      </c>
      <c r="L202">
        <f>IFERROR(D202/C202,"")</f>
        <v/>
      </c>
      <c r="M202">
        <f>IFERROR(E202/F202,"")</f>
        <v/>
      </c>
      <c r="N202" t="inlineStr"/>
      <c r="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>
        <f>G203-H203</f>
        <v/>
      </c>
      <c r="J203">
        <f>IFERROR(G203/E203,"")</f>
        <v/>
      </c>
      <c r="K203">
        <f>IFERROR(H203/G203,"")</f>
        <v/>
      </c>
      <c r="L203">
        <f>IFERROR(D203/C203,"")</f>
        <v/>
      </c>
      <c r="M203">
        <f>IFERROR(E203/F203,"")</f>
        <v/>
      </c>
      <c r="N203" t="inlineStr"/>
      <c r="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>
        <f>G204-H204</f>
        <v/>
      </c>
      <c r="J204">
        <f>IFERROR(G204/E204,"")</f>
        <v/>
      </c>
      <c r="K204">
        <f>IFERROR(H204/G204,"")</f>
        <v/>
      </c>
      <c r="L204">
        <f>IFERROR(D204/C204,"")</f>
        <v/>
      </c>
      <c r="M204">
        <f>IFERROR(E204/F204,"")</f>
        <v/>
      </c>
      <c r="N204" t="inlineStr"/>
      <c r="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>
        <f>G205-H205</f>
        <v/>
      </c>
      <c r="J205">
        <f>IFERROR(G205/E205,"")</f>
        <v/>
      </c>
      <c r="K205">
        <f>IFERROR(H205/G205,"")</f>
        <v/>
      </c>
      <c r="L205">
        <f>IFERROR(D205/C205,"")</f>
        <v/>
      </c>
      <c r="M205">
        <f>IFERROR(E205/F205,"")</f>
        <v/>
      </c>
      <c r="N205" t="inlineStr"/>
      <c r="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>
        <f>G206-H206</f>
        <v/>
      </c>
      <c r="J206">
        <f>IFERROR(G206/E206,"")</f>
        <v/>
      </c>
      <c r="K206">
        <f>IFERROR(H206/G206,"")</f>
        <v/>
      </c>
      <c r="L206">
        <f>IFERROR(D206/C206,"")</f>
        <v/>
      </c>
      <c r="M206">
        <f>IFERROR(E206/F206,"")</f>
        <v/>
      </c>
      <c r="N206" t="inlineStr"/>
      <c r="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>
        <f>G207-H207</f>
        <v/>
      </c>
      <c r="J207">
        <f>IFERROR(G207/E207,"")</f>
        <v/>
      </c>
      <c r="K207">
        <f>IFERROR(H207/G207,"")</f>
        <v/>
      </c>
      <c r="L207">
        <f>IFERROR(D207/C207,"")</f>
        <v/>
      </c>
      <c r="M207">
        <f>IFERROR(E207/F207,"")</f>
        <v/>
      </c>
      <c r="N207" t="inlineStr"/>
      <c r="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>
        <f>G208-H208</f>
        <v/>
      </c>
      <c r="J208">
        <f>IFERROR(G208/E208,"")</f>
        <v/>
      </c>
      <c r="K208">
        <f>IFERROR(H208/G208,"")</f>
        <v/>
      </c>
      <c r="L208">
        <f>IFERROR(D208/C208,"")</f>
        <v/>
      </c>
      <c r="M208">
        <f>IFERROR(E208/F208,"")</f>
        <v/>
      </c>
      <c r="N208" t="inlineStr"/>
      <c r="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>
        <f>G209-H209</f>
        <v/>
      </c>
      <c r="J209">
        <f>IFERROR(G209/E209,"")</f>
        <v/>
      </c>
      <c r="K209">
        <f>IFERROR(H209/G209,"")</f>
        <v/>
      </c>
      <c r="L209">
        <f>IFERROR(D209/C209,"")</f>
        <v/>
      </c>
      <c r="M209">
        <f>IFERROR(E209/F209,"")</f>
        <v/>
      </c>
      <c r="N209" t="inlineStr"/>
      <c r="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>
        <f>G210-H210</f>
        <v/>
      </c>
      <c r="J210">
        <f>IFERROR(G210/E210,"")</f>
        <v/>
      </c>
      <c r="K210">
        <f>IFERROR(H210/G210,"")</f>
        <v/>
      </c>
      <c r="L210">
        <f>IFERROR(D210/C210,"")</f>
        <v/>
      </c>
      <c r="M210">
        <f>IFERROR(E210/F210,"")</f>
        <v/>
      </c>
      <c r="N210" t="inlineStr"/>
      <c r="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>
        <f>G211-H211</f>
        <v/>
      </c>
      <c r="J211">
        <f>IFERROR(G211/E211,"")</f>
        <v/>
      </c>
      <c r="K211">
        <f>IFERROR(H211/G211,"")</f>
        <v/>
      </c>
      <c r="L211">
        <f>IFERROR(D211/C211,"")</f>
        <v/>
      </c>
      <c r="M211">
        <f>IFERROR(E211/F211,"")</f>
        <v/>
      </c>
      <c r="N211" t="inlineStr"/>
      <c r="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>
        <f>G212-H212</f>
        <v/>
      </c>
      <c r="J212">
        <f>IFERROR(G212/E212,"")</f>
        <v/>
      </c>
      <c r="K212">
        <f>IFERROR(H212/G212,"")</f>
        <v/>
      </c>
      <c r="L212">
        <f>IFERROR(D212/C212,"")</f>
        <v/>
      </c>
      <c r="M212">
        <f>IFERROR(E212/F212,"")</f>
        <v/>
      </c>
      <c r="N212" t="inlineStr"/>
      <c r="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>
        <f>G213-H213</f>
        <v/>
      </c>
      <c r="J213">
        <f>IFERROR(G213/E213,"")</f>
        <v/>
      </c>
      <c r="K213">
        <f>IFERROR(H213/G213,"")</f>
        <v/>
      </c>
      <c r="L213">
        <f>IFERROR(D213/C213,"")</f>
        <v/>
      </c>
      <c r="M213">
        <f>IFERROR(E213/F213,"")</f>
        <v/>
      </c>
      <c r="N213" t="inlineStr"/>
      <c r="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>
        <f>G214-H214</f>
        <v/>
      </c>
      <c r="J214">
        <f>IFERROR(G214/E214,"")</f>
        <v/>
      </c>
      <c r="K214">
        <f>IFERROR(H214/G214,"")</f>
        <v/>
      </c>
      <c r="L214">
        <f>IFERROR(D214/C214,"")</f>
        <v/>
      </c>
      <c r="M214">
        <f>IFERROR(E214/F214,"")</f>
        <v/>
      </c>
      <c r="N214" t="inlineStr"/>
      <c r="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>
        <f>G215-H215</f>
        <v/>
      </c>
      <c r="J215">
        <f>IFERROR(G215/E215,"")</f>
        <v/>
      </c>
      <c r="K215">
        <f>IFERROR(H215/G215,"")</f>
        <v/>
      </c>
      <c r="L215">
        <f>IFERROR(D215/C215,"")</f>
        <v/>
      </c>
      <c r="M215">
        <f>IFERROR(E215/F215,"")</f>
        <v/>
      </c>
      <c r="N215" t="inlineStr"/>
      <c r="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>
        <f>G216-H216</f>
        <v/>
      </c>
      <c r="J216">
        <f>IFERROR(G216/E216,"")</f>
        <v/>
      </c>
      <c r="K216">
        <f>IFERROR(H216/G216,"")</f>
        <v/>
      </c>
      <c r="L216">
        <f>IFERROR(D216/C216,"")</f>
        <v/>
      </c>
      <c r="M216">
        <f>IFERROR(E216/F216,"")</f>
        <v/>
      </c>
      <c r="N216" t="inlineStr"/>
      <c r="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>
        <f>G217-H217</f>
        <v/>
      </c>
      <c r="J217">
        <f>IFERROR(G217/E217,"")</f>
        <v/>
      </c>
      <c r="K217">
        <f>IFERROR(H217/G217,"")</f>
        <v/>
      </c>
      <c r="L217">
        <f>IFERROR(D217/C217,"")</f>
        <v/>
      </c>
      <c r="M217">
        <f>IFERROR(E217/F217,"")</f>
        <v/>
      </c>
      <c r="N217" t="inlineStr"/>
      <c r="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>
        <f>G218-H218</f>
        <v/>
      </c>
      <c r="J218">
        <f>IFERROR(G218/E218,"")</f>
        <v/>
      </c>
      <c r="K218">
        <f>IFERROR(H218/G218,"")</f>
        <v/>
      </c>
      <c r="L218">
        <f>IFERROR(D218/C218,"")</f>
        <v/>
      </c>
      <c r="M218">
        <f>IFERROR(E218/F218,"")</f>
        <v/>
      </c>
      <c r="N218" t="inlineStr"/>
      <c r="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>
        <f>G219-H219</f>
        <v/>
      </c>
      <c r="J219">
        <f>IFERROR(G219/E219,"")</f>
        <v/>
      </c>
      <c r="K219">
        <f>IFERROR(H219/G219,"")</f>
        <v/>
      </c>
      <c r="L219">
        <f>IFERROR(D219/C219,"")</f>
        <v/>
      </c>
      <c r="M219">
        <f>IFERROR(E219/F219,"")</f>
        <v/>
      </c>
      <c r="N219" t="inlineStr"/>
      <c r="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>
        <f>G220-H220</f>
        <v/>
      </c>
      <c r="J220">
        <f>IFERROR(G220/E220,"")</f>
        <v/>
      </c>
      <c r="K220">
        <f>IFERROR(H220/G220,"")</f>
        <v/>
      </c>
      <c r="L220">
        <f>IFERROR(D220/C220,"")</f>
        <v/>
      </c>
      <c r="M220">
        <f>IFERROR(E220/F220,"")</f>
        <v/>
      </c>
      <c r="N220" t="inlineStr"/>
      <c r="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>
        <f>G221-H221</f>
        <v/>
      </c>
      <c r="J221">
        <f>IFERROR(G221/E221,"")</f>
        <v/>
      </c>
      <c r="K221">
        <f>IFERROR(H221/G221,"")</f>
        <v/>
      </c>
      <c r="L221">
        <f>IFERROR(D221/C221,"")</f>
        <v/>
      </c>
      <c r="M221">
        <f>IFERROR(E221/F221,"")</f>
        <v/>
      </c>
      <c r="N221" t="inlineStr"/>
      <c r="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>
        <f>G222-H222</f>
        <v/>
      </c>
      <c r="J222">
        <f>IFERROR(G222/E222,"")</f>
        <v/>
      </c>
      <c r="K222">
        <f>IFERROR(H222/G222,"")</f>
        <v/>
      </c>
      <c r="L222">
        <f>IFERROR(D222/C222,"")</f>
        <v/>
      </c>
      <c r="M222">
        <f>IFERROR(E222/F222,"")</f>
        <v/>
      </c>
      <c r="N222" t="inlineStr"/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>
        <f>G223-H223</f>
        <v/>
      </c>
      <c r="J223">
        <f>IFERROR(G223/E223,"")</f>
        <v/>
      </c>
      <c r="K223">
        <f>IFERROR(H223/G223,"")</f>
        <v/>
      </c>
      <c r="L223">
        <f>IFERROR(D223/C223,"")</f>
        <v/>
      </c>
      <c r="M223">
        <f>IFERROR(E223/F223,"")</f>
        <v/>
      </c>
      <c r="N223" t="inlineStr"/>
      <c r="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>
        <f>G224-H224</f>
        <v/>
      </c>
      <c r="J224">
        <f>IFERROR(G224/E224,"")</f>
        <v/>
      </c>
      <c r="K224">
        <f>IFERROR(H224/G224,"")</f>
        <v/>
      </c>
      <c r="L224">
        <f>IFERROR(D224/C224,"")</f>
        <v/>
      </c>
      <c r="M224">
        <f>IFERROR(E224/F224,"")</f>
        <v/>
      </c>
      <c r="N224" t="inlineStr"/>
      <c r="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>
        <f>G225-H225</f>
        <v/>
      </c>
      <c r="J225">
        <f>IFERROR(G225/E225,"")</f>
        <v/>
      </c>
      <c r="K225">
        <f>IFERROR(H225/G225,"")</f>
        <v/>
      </c>
      <c r="L225">
        <f>IFERROR(D225/C225,"")</f>
        <v/>
      </c>
      <c r="M225">
        <f>IFERROR(E225/F225,"")</f>
        <v/>
      </c>
      <c r="N225" t="inlineStr"/>
      <c r="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>
        <f>G226-H226</f>
        <v/>
      </c>
      <c r="J226">
        <f>IFERROR(G226/E226,"")</f>
        <v/>
      </c>
      <c r="K226">
        <f>IFERROR(H226/G226,"")</f>
        <v/>
      </c>
      <c r="L226">
        <f>IFERROR(D226/C226,"")</f>
        <v/>
      </c>
      <c r="M226">
        <f>IFERROR(E226/F226,"")</f>
        <v/>
      </c>
      <c r="N226" t="inlineStr"/>
      <c r="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>
        <f>G227-H227</f>
        <v/>
      </c>
      <c r="J227">
        <f>IFERROR(G227/E227,"")</f>
        <v/>
      </c>
      <c r="K227">
        <f>IFERROR(H227/G227,"")</f>
        <v/>
      </c>
      <c r="L227">
        <f>IFERROR(D227/C227,"")</f>
        <v/>
      </c>
      <c r="M227">
        <f>IFERROR(E227/F227,"")</f>
        <v/>
      </c>
      <c r="N227" t="inlineStr"/>
      <c r="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>
        <f>G228-H228</f>
        <v/>
      </c>
      <c r="J228">
        <f>IFERROR(G228/E228,"")</f>
        <v/>
      </c>
      <c r="K228">
        <f>IFERROR(H228/G228,"")</f>
        <v/>
      </c>
      <c r="L228">
        <f>IFERROR(D228/C228,"")</f>
        <v/>
      </c>
      <c r="M228">
        <f>IFERROR(E228/F228,"")</f>
        <v/>
      </c>
      <c r="N228" t="inlineStr"/>
      <c r="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>
        <f>G229-H229</f>
        <v/>
      </c>
      <c r="J229">
        <f>IFERROR(G229/E229,"")</f>
        <v/>
      </c>
      <c r="K229">
        <f>IFERROR(H229/G229,"")</f>
        <v/>
      </c>
      <c r="L229">
        <f>IFERROR(D229/C229,"")</f>
        <v/>
      </c>
      <c r="M229">
        <f>IFERROR(E229/F229,"")</f>
        <v/>
      </c>
      <c r="N229" t="inlineStr"/>
      <c r="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>
        <f>G230-H230</f>
        <v/>
      </c>
      <c r="J230">
        <f>IFERROR(G230/E230,"")</f>
        <v/>
      </c>
      <c r="K230">
        <f>IFERROR(H230/G230,"")</f>
        <v/>
      </c>
      <c r="L230">
        <f>IFERROR(D230/C230,"")</f>
        <v/>
      </c>
      <c r="M230">
        <f>IFERROR(E230/F230,"")</f>
        <v/>
      </c>
      <c r="N230" t="inlineStr"/>
      <c r="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>
        <f>G231-H231</f>
        <v/>
      </c>
      <c r="J231">
        <f>IFERROR(G231/E231,"")</f>
        <v/>
      </c>
      <c r="K231">
        <f>IFERROR(H231/G231,"")</f>
        <v/>
      </c>
      <c r="L231">
        <f>IFERROR(D231/C231,"")</f>
        <v/>
      </c>
      <c r="M231">
        <f>IFERROR(E231/F231,"")</f>
        <v/>
      </c>
      <c r="N231" t="inlineStr"/>
      <c r="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>
        <f>G232-H232</f>
        <v/>
      </c>
      <c r="J232">
        <f>IFERROR(G232/E232,"")</f>
        <v/>
      </c>
      <c r="K232">
        <f>IFERROR(H232/G232,"")</f>
        <v/>
      </c>
      <c r="L232">
        <f>IFERROR(D232/C232,"")</f>
        <v/>
      </c>
      <c r="M232">
        <f>IFERROR(E232/F232,"")</f>
        <v/>
      </c>
      <c r="N232" t="inlineStr"/>
      <c r="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>
        <f>G233-H233</f>
        <v/>
      </c>
      <c r="J233">
        <f>IFERROR(G233/E233,"")</f>
        <v/>
      </c>
      <c r="K233">
        <f>IFERROR(H233/G233,"")</f>
        <v/>
      </c>
      <c r="L233">
        <f>IFERROR(D233/C233,"")</f>
        <v/>
      </c>
      <c r="M233">
        <f>IFERROR(E233/F233,"")</f>
        <v/>
      </c>
      <c r="N233" t="inlineStr"/>
      <c r="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>
        <f>G234-H234</f>
        <v/>
      </c>
      <c r="J234">
        <f>IFERROR(G234/E234,"")</f>
        <v/>
      </c>
      <c r="K234">
        <f>IFERROR(H234/G234,"")</f>
        <v/>
      </c>
      <c r="L234">
        <f>IFERROR(D234/C234,"")</f>
        <v/>
      </c>
      <c r="M234">
        <f>IFERROR(E234/F234,"")</f>
        <v/>
      </c>
      <c r="N234" t="inlineStr"/>
      <c r="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>
        <f>G235-H235</f>
        <v/>
      </c>
      <c r="J235">
        <f>IFERROR(G235/E235,"")</f>
        <v/>
      </c>
      <c r="K235">
        <f>IFERROR(H235/G235,"")</f>
        <v/>
      </c>
      <c r="L235">
        <f>IFERROR(D235/C235,"")</f>
        <v/>
      </c>
      <c r="M235">
        <f>IFERROR(E235/F235,"")</f>
        <v/>
      </c>
      <c r="N235" t="inlineStr"/>
      <c r="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>
        <f>G236-H236</f>
        <v/>
      </c>
      <c r="J236">
        <f>IFERROR(G236/E236,"")</f>
        <v/>
      </c>
      <c r="K236">
        <f>IFERROR(H236/G236,"")</f>
        <v/>
      </c>
      <c r="L236">
        <f>IFERROR(D236/C236,"")</f>
        <v/>
      </c>
      <c r="M236">
        <f>IFERROR(E236/F236,"")</f>
        <v/>
      </c>
      <c r="N236" t="inlineStr"/>
      <c r="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>
        <f>G237-H237</f>
        <v/>
      </c>
      <c r="J237">
        <f>IFERROR(G237/E237,"")</f>
        <v/>
      </c>
      <c r="K237">
        <f>IFERROR(H237/G237,"")</f>
        <v/>
      </c>
      <c r="L237">
        <f>IFERROR(D237/C237,"")</f>
        <v/>
      </c>
      <c r="M237">
        <f>IFERROR(E237/F237,"")</f>
        <v/>
      </c>
      <c r="N237" t="inlineStr"/>
      <c r="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>
        <f>G238-H238</f>
        <v/>
      </c>
      <c r="J238">
        <f>IFERROR(G238/E238,"")</f>
        <v/>
      </c>
      <c r="K238">
        <f>IFERROR(H238/G238,"")</f>
        <v/>
      </c>
      <c r="L238">
        <f>IFERROR(D238/C238,"")</f>
        <v/>
      </c>
      <c r="M238">
        <f>IFERROR(E238/F238,"")</f>
        <v/>
      </c>
      <c r="N238" t="inlineStr"/>
      <c r="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>
        <f>G239-H239</f>
        <v/>
      </c>
      <c r="J239">
        <f>IFERROR(G239/E239,"")</f>
        <v/>
      </c>
      <c r="K239">
        <f>IFERROR(H239/G239,"")</f>
        <v/>
      </c>
      <c r="L239">
        <f>IFERROR(D239/C239,"")</f>
        <v/>
      </c>
      <c r="M239">
        <f>IFERROR(E239/F239,"")</f>
        <v/>
      </c>
      <c r="N239" t="inlineStr"/>
      <c r="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>
        <f>G240-H240</f>
        <v/>
      </c>
      <c r="J240">
        <f>IFERROR(G240/E240,"")</f>
        <v/>
      </c>
      <c r="K240">
        <f>IFERROR(H240/G240,"")</f>
        <v/>
      </c>
      <c r="L240">
        <f>IFERROR(D240/C240,"")</f>
        <v/>
      </c>
      <c r="M240">
        <f>IFERROR(E240/F240,"")</f>
        <v/>
      </c>
      <c r="N240" t="inlineStr"/>
      <c r="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>
        <f>G241-H241</f>
        <v/>
      </c>
      <c r="J241">
        <f>IFERROR(G241/E241,"")</f>
        <v/>
      </c>
      <c r="K241">
        <f>IFERROR(H241/G241,"")</f>
        <v/>
      </c>
      <c r="L241">
        <f>IFERROR(D241/C241,"")</f>
        <v/>
      </c>
      <c r="M241">
        <f>IFERROR(E241/F241,"")</f>
        <v/>
      </c>
      <c r="N241" t="inlineStr"/>
      <c r="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>
        <f>G242-H242</f>
        <v/>
      </c>
      <c r="J242">
        <f>IFERROR(G242/E242,"")</f>
        <v/>
      </c>
      <c r="K242">
        <f>IFERROR(H242/G242,"")</f>
        <v/>
      </c>
      <c r="L242">
        <f>IFERROR(D242/C242,"")</f>
        <v/>
      </c>
      <c r="M242">
        <f>IFERROR(E242/F242,"")</f>
        <v/>
      </c>
      <c r="N242" t="inlineStr"/>
      <c r="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>
        <f>G243-H243</f>
        <v/>
      </c>
      <c r="J243">
        <f>IFERROR(G243/E243,"")</f>
        <v/>
      </c>
      <c r="K243">
        <f>IFERROR(H243/G243,"")</f>
        <v/>
      </c>
      <c r="L243">
        <f>IFERROR(D243/C243,"")</f>
        <v/>
      </c>
      <c r="M243">
        <f>IFERROR(E243/F243,"")</f>
        <v/>
      </c>
      <c r="N243" t="inlineStr"/>
      <c r="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>
        <f>G244-H244</f>
        <v/>
      </c>
      <c r="J244">
        <f>IFERROR(G244/E244,"")</f>
        <v/>
      </c>
      <c r="K244">
        <f>IFERROR(H244/G244,"")</f>
        <v/>
      </c>
      <c r="L244">
        <f>IFERROR(D244/C244,"")</f>
        <v/>
      </c>
      <c r="M244">
        <f>IFERROR(E244/F244,"")</f>
        <v/>
      </c>
      <c r="N244" t="inlineStr"/>
      <c r="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>
        <f>G245-H245</f>
        <v/>
      </c>
      <c r="J245">
        <f>IFERROR(G245/E245,"")</f>
        <v/>
      </c>
      <c r="K245">
        <f>IFERROR(H245/G245,"")</f>
        <v/>
      </c>
      <c r="L245">
        <f>IFERROR(D245/C245,"")</f>
        <v/>
      </c>
      <c r="M245">
        <f>IFERROR(E245/F245,"")</f>
        <v/>
      </c>
      <c r="N245" t="inlineStr"/>
      <c r="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>
        <f>G246-H246</f>
        <v/>
      </c>
      <c r="J246">
        <f>IFERROR(G246/E246,"")</f>
        <v/>
      </c>
      <c r="K246">
        <f>IFERROR(H246/G246,"")</f>
        <v/>
      </c>
      <c r="L246">
        <f>IFERROR(D246/C246,"")</f>
        <v/>
      </c>
      <c r="M246">
        <f>IFERROR(E246/F246,"")</f>
        <v/>
      </c>
      <c r="N246" t="inlineStr"/>
      <c r="O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>
        <f>G247-H247</f>
        <v/>
      </c>
      <c r="J247">
        <f>IFERROR(G247/E247,"")</f>
        <v/>
      </c>
      <c r="K247">
        <f>IFERROR(H247/G247,"")</f>
        <v/>
      </c>
      <c r="L247">
        <f>IFERROR(D247/C247,"")</f>
        <v/>
      </c>
      <c r="M247">
        <f>IFERROR(E247/F247,"")</f>
        <v/>
      </c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>
        <f>G248-H248</f>
        <v/>
      </c>
      <c r="J248">
        <f>IFERROR(G248/E248,"")</f>
        <v/>
      </c>
      <c r="K248">
        <f>IFERROR(H248/G248,"")</f>
        <v/>
      </c>
      <c r="L248">
        <f>IFERROR(D248/C248,"")</f>
        <v/>
      </c>
      <c r="M248">
        <f>IFERROR(E248/F248,"")</f>
        <v/>
      </c>
      <c r="N248" t="inlineStr"/>
      <c r="O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>
        <f>G249-H249</f>
        <v/>
      </c>
      <c r="J249">
        <f>IFERROR(G249/E249,"")</f>
        <v/>
      </c>
      <c r="K249">
        <f>IFERROR(H249/G249,"")</f>
        <v/>
      </c>
      <c r="L249">
        <f>IFERROR(D249/C249,"")</f>
        <v/>
      </c>
      <c r="M249">
        <f>IFERROR(E249/F249,"")</f>
        <v/>
      </c>
      <c r="N249" t="inlineStr"/>
      <c r="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>
        <f>G250-H250</f>
        <v/>
      </c>
      <c r="J250">
        <f>IFERROR(G250/E250,"")</f>
        <v/>
      </c>
      <c r="K250">
        <f>IFERROR(H250/G250,"")</f>
        <v/>
      </c>
      <c r="L250">
        <f>IFERROR(D250/C250,"")</f>
        <v/>
      </c>
      <c r="M250">
        <f>IFERROR(E250/F250,"")</f>
        <v/>
      </c>
      <c r="N250" t="inlineStr"/>
      <c r="O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>
        <f>G251-H251</f>
        <v/>
      </c>
      <c r="J251">
        <f>IFERROR(G251/E251,"")</f>
        <v/>
      </c>
      <c r="K251">
        <f>IFERROR(H251/G251,"")</f>
        <v/>
      </c>
      <c r="L251">
        <f>IFERROR(D251/C251,"")</f>
        <v/>
      </c>
      <c r="M251">
        <f>IFERROR(E251/F251,"")</f>
        <v/>
      </c>
      <c r="N251" t="inlineStr"/>
      <c r="O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>
        <f>G252-H252</f>
        <v/>
      </c>
      <c r="J252">
        <f>IFERROR(G252/E252,"")</f>
        <v/>
      </c>
      <c r="K252">
        <f>IFERROR(H252/G252,"")</f>
        <v/>
      </c>
      <c r="L252">
        <f>IFERROR(D252/C252,"")</f>
        <v/>
      </c>
      <c r="M252">
        <f>IFERROR(E252/F252,"")</f>
        <v/>
      </c>
      <c r="N252" t="inlineStr"/>
      <c r="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>
        <f>G253-H253</f>
        <v/>
      </c>
      <c r="J253">
        <f>IFERROR(G253/E253,"")</f>
        <v/>
      </c>
      <c r="K253">
        <f>IFERROR(H253/G253,"")</f>
        <v/>
      </c>
      <c r="L253">
        <f>IFERROR(D253/C253,"")</f>
        <v/>
      </c>
      <c r="M253">
        <f>IFERROR(E253/F253,"")</f>
        <v/>
      </c>
      <c r="N253" t="inlineStr"/>
      <c r="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>
        <f>G254-H254</f>
        <v/>
      </c>
      <c r="J254">
        <f>IFERROR(G254/E254,"")</f>
        <v/>
      </c>
      <c r="K254">
        <f>IFERROR(H254/G254,"")</f>
        <v/>
      </c>
      <c r="L254">
        <f>IFERROR(D254/C254,"")</f>
        <v/>
      </c>
      <c r="M254">
        <f>IFERROR(E254/F254,"")</f>
        <v/>
      </c>
      <c r="N254" t="inlineStr"/>
      <c r="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>
        <f>G255-H255</f>
        <v/>
      </c>
      <c r="J255">
        <f>IFERROR(G255/E255,"")</f>
        <v/>
      </c>
      <c r="K255">
        <f>IFERROR(H255/G255,"")</f>
        <v/>
      </c>
      <c r="L255">
        <f>IFERROR(D255/C255,"")</f>
        <v/>
      </c>
      <c r="M255">
        <f>IFERROR(E255/F255,"")</f>
        <v/>
      </c>
      <c r="N255" t="inlineStr"/>
      <c r="O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>
        <f>G256-H256</f>
        <v/>
      </c>
      <c r="J256">
        <f>IFERROR(G256/E256,"")</f>
        <v/>
      </c>
      <c r="K256">
        <f>IFERROR(H256/G256,"")</f>
        <v/>
      </c>
      <c r="L256">
        <f>IFERROR(D256/C256,"")</f>
        <v/>
      </c>
      <c r="M256">
        <f>IFERROR(E256/F256,"")</f>
        <v/>
      </c>
      <c r="N256" t="inlineStr"/>
      <c r="O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>
        <f>G257-H257</f>
        <v/>
      </c>
      <c r="J257">
        <f>IFERROR(G257/E257,"")</f>
        <v/>
      </c>
      <c r="K257">
        <f>IFERROR(H257/G257,"")</f>
        <v/>
      </c>
      <c r="L257">
        <f>IFERROR(D257/C257,"")</f>
        <v/>
      </c>
      <c r="M257">
        <f>IFERROR(E257/F257,"")</f>
        <v/>
      </c>
      <c r="N257" t="inlineStr"/>
      <c r="O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>
        <f>G258-H258</f>
        <v/>
      </c>
      <c r="J258">
        <f>IFERROR(G258/E258,"")</f>
        <v/>
      </c>
      <c r="K258">
        <f>IFERROR(H258/G258,"")</f>
        <v/>
      </c>
      <c r="L258">
        <f>IFERROR(D258/C258,"")</f>
        <v/>
      </c>
      <c r="M258">
        <f>IFERROR(E258/F258,"")</f>
        <v/>
      </c>
      <c r="N258" t="inlineStr"/>
      <c r="O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>
        <f>G259-H259</f>
        <v/>
      </c>
      <c r="J259">
        <f>IFERROR(G259/E259,"")</f>
        <v/>
      </c>
      <c r="K259">
        <f>IFERROR(H259/G259,"")</f>
        <v/>
      </c>
      <c r="L259">
        <f>IFERROR(D259/C259,"")</f>
        <v/>
      </c>
      <c r="M259">
        <f>IFERROR(E259/F259,"")</f>
        <v/>
      </c>
      <c r="N259" t="inlineStr"/>
      <c r="O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>
        <f>G260-H260</f>
        <v/>
      </c>
      <c r="J260">
        <f>IFERROR(G260/E260,"")</f>
        <v/>
      </c>
      <c r="K260">
        <f>IFERROR(H260/G260,"")</f>
        <v/>
      </c>
      <c r="L260">
        <f>IFERROR(D260/C260,"")</f>
        <v/>
      </c>
      <c r="M260">
        <f>IFERROR(E260/F260,"")</f>
        <v/>
      </c>
      <c r="N260" t="inlineStr"/>
      <c r="O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>
        <f>G261-H261</f>
        <v/>
      </c>
      <c r="J261">
        <f>IFERROR(G261/E261,"")</f>
        <v/>
      </c>
      <c r="K261">
        <f>IFERROR(H261/G261,"")</f>
        <v/>
      </c>
      <c r="L261">
        <f>IFERROR(D261/C261,"")</f>
        <v/>
      </c>
      <c r="M261">
        <f>IFERROR(E261/F261,"")</f>
        <v/>
      </c>
      <c r="N261" t="inlineStr"/>
      <c r="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>
        <f>G262-H262</f>
        <v/>
      </c>
      <c r="J262">
        <f>IFERROR(G262/E262,"")</f>
        <v/>
      </c>
      <c r="K262">
        <f>IFERROR(H262/G262,"")</f>
        <v/>
      </c>
      <c r="L262">
        <f>IFERROR(D262/C262,"")</f>
        <v/>
      </c>
      <c r="M262">
        <f>IFERROR(E262/F262,"")</f>
        <v/>
      </c>
      <c r="N262" t="inlineStr"/>
      <c r="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>
        <f>G263-H263</f>
        <v/>
      </c>
      <c r="J263">
        <f>IFERROR(G263/E263,"")</f>
        <v/>
      </c>
      <c r="K263">
        <f>IFERROR(H263/G263,"")</f>
        <v/>
      </c>
      <c r="L263">
        <f>IFERROR(D263/C263,"")</f>
        <v/>
      </c>
      <c r="M263">
        <f>IFERROR(E263/F263,"")</f>
        <v/>
      </c>
      <c r="N263" t="inlineStr"/>
      <c r="O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>
        <f>G264-H264</f>
        <v/>
      </c>
      <c r="J264">
        <f>IFERROR(G264/E264,"")</f>
        <v/>
      </c>
      <c r="K264">
        <f>IFERROR(H264/G264,"")</f>
        <v/>
      </c>
      <c r="L264">
        <f>IFERROR(D264/C264,"")</f>
        <v/>
      </c>
      <c r="M264">
        <f>IFERROR(E264/F264,"")</f>
        <v/>
      </c>
      <c r="N264" t="inlineStr"/>
      <c r="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>
        <f>G265-H265</f>
        <v/>
      </c>
      <c r="J265">
        <f>IFERROR(G265/E265,"")</f>
        <v/>
      </c>
      <c r="K265">
        <f>IFERROR(H265/G265,"")</f>
        <v/>
      </c>
      <c r="L265">
        <f>IFERROR(D265/C265,"")</f>
        <v/>
      </c>
      <c r="M265">
        <f>IFERROR(E265/F265,"")</f>
        <v/>
      </c>
      <c r="N265" t="inlineStr"/>
      <c r="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>
        <f>G266-H266</f>
        <v/>
      </c>
      <c r="J266">
        <f>IFERROR(G266/E266,"")</f>
        <v/>
      </c>
      <c r="K266">
        <f>IFERROR(H266/G266,"")</f>
        <v/>
      </c>
      <c r="L266">
        <f>IFERROR(D266/C266,"")</f>
        <v/>
      </c>
      <c r="M266">
        <f>IFERROR(E266/F266,"")</f>
        <v/>
      </c>
      <c r="N266" t="inlineStr"/>
      <c r="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>
        <f>G267-H267</f>
        <v/>
      </c>
      <c r="J267">
        <f>IFERROR(G267/E267,"")</f>
        <v/>
      </c>
      <c r="K267">
        <f>IFERROR(H267/G267,"")</f>
        <v/>
      </c>
      <c r="L267">
        <f>IFERROR(D267/C267,"")</f>
        <v/>
      </c>
      <c r="M267">
        <f>IFERROR(E267/F267,"")</f>
        <v/>
      </c>
      <c r="N267" t="inlineStr"/>
      <c r="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>
        <f>G268-H268</f>
        <v/>
      </c>
      <c r="J268">
        <f>IFERROR(G268/E268,"")</f>
        <v/>
      </c>
      <c r="K268">
        <f>IFERROR(H268/G268,"")</f>
        <v/>
      </c>
      <c r="L268">
        <f>IFERROR(D268/C268,"")</f>
        <v/>
      </c>
      <c r="M268">
        <f>IFERROR(E268/F268,"")</f>
        <v/>
      </c>
      <c r="N268" t="inlineStr"/>
      <c r="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>
        <f>G269-H269</f>
        <v/>
      </c>
      <c r="J269">
        <f>IFERROR(G269/E269,"")</f>
        <v/>
      </c>
      <c r="K269">
        <f>IFERROR(H269/G269,"")</f>
        <v/>
      </c>
      <c r="L269">
        <f>IFERROR(D269/C269,"")</f>
        <v/>
      </c>
      <c r="M269">
        <f>IFERROR(E269/F269,"")</f>
        <v/>
      </c>
      <c r="N269" t="inlineStr"/>
      <c r="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>
        <f>G270-H270</f>
        <v/>
      </c>
      <c r="J270">
        <f>IFERROR(G270/E270,"")</f>
        <v/>
      </c>
      <c r="K270">
        <f>IFERROR(H270/G270,"")</f>
        <v/>
      </c>
      <c r="L270">
        <f>IFERROR(D270/C270,"")</f>
        <v/>
      </c>
      <c r="M270">
        <f>IFERROR(E270/F270,"")</f>
        <v/>
      </c>
      <c r="N270" t="inlineStr"/>
      <c r="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>
        <f>G271-H271</f>
        <v/>
      </c>
      <c r="J271">
        <f>IFERROR(G271/E271,"")</f>
        <v/>
      </c>
      <c r="K271">
        <f>IFERROR(H271/G271,"")</f>
        <v/>
      </c>
      <c r="L271">
        <f>IFERROR(D271/C271,"")</f>
        <v/>
      </c>
      <c r="M271">
        <f>IFERROR(E271/F271,"")</f>
        <v/>
      </c>
      <c r="N271" t="inlineStr"/>
      <c r="O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>
        <f>G272-H272</f>
        <v/>
      </c>
      <c r="J272">
        <f>IFERROR(G272/E272,"")</f>
        <v/>
      </c>
      <c r="K272">
        <f>IFERROR(H272/G272,"")</f>
        <v/>
      </c>
      <c r="L272">
        <f>IFERROR(D272/C272,"")</f>
        <v/>
      </c>
      <c r="M272">
        <f>IFERROR(E272/F272,"")</f>
        <v/>
      </c>
      <c r="N272" t="inlineStr"/>
      <c r="O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>
        <f>G273-H273</f>
        <v/>
      </c>
      <c r="J273">
        <f>IFERROR(G273/E273,"")</f>
        <v/>
      </c>
      <c r="K273">
        <f>IFERROR(H273/G273,"")</f>
        <v/>
      </c>
      <c r="L273">
        <f>IFERROR(D273/C273,"")</f>
        <v/>
      </c>
      <c r="M273">
        <f>IFERROR(E273/F273,"")</f>
        <v/>
      </c>
      <c r="N273" t="inlineStr"/>
      <c r="O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>
        <f>G274-H274</f>
        <v/>
      </c>
      <c r="J274">
        <f>IFERROR(G274/E274,"")</f>
        <v/>
      </c>
      <c r="K274">
        <f>IFERROR(H274/G274,"")</f>
        <v/>
      </c>
      <c r="L274">
        <f>IFERROR(D274/C274,"")</f>
        <v/>
      </c>
      <c r="M274">
        <f>IFERROR(E274/F274,"")</f>
        <v/>
      </c>
      <c r="N274" t="inlineStr"/>
      <c r="O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>
        <f>G275-H275</f>
        <v/>
      </c>
      <c r="J275">
        <f>IFERROR(G275/E275,"")</f>
        <v/>
      </c>
      <c r="K275">
        <f>IFERROR(H275/G275,"")</f>
        <v/>
      </c>
      <c r="L275">
        <f>IFERROR(D275/C275,"")</f>
        <v/>
      </c>
      <c r="M275">
        <f>IFERROR(E275/F275,"")</f>
        <v/>
      </c>
      <c r="N275" t="inlineStr"/>
      <c r="O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>
        <f>G276-H276</f>
        <v/>
      </c>
      <c r="J276">
        <f>IFERROR(G276/E276,"")</f>
        <v/>
      </c>
      <c r="K276">
        <f>IFERROR(H276/G276,"")</f>
        <v/>
      </c>
      <c r="L276">
        <f>IFERROR(D276/C276,"")</f>
        <v/>
      </c>
      <c r="M276">
        <f>IFERROR(E276/F276,"")</f>
        <v/>
      </c>
      <c r="N276" t="inlineStr"/>
      <c r="O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>
        <f>G277-H277</f>
        <v/>
      </c>
      <c r="J277">
        <f>IFERROR(G277/E277,"")</f>
        <v/>
      </c>
      <c r="K277">
        <f>IFERROR(H277/G277,"")</f>
        <v/>
      </c>
      <c r="L277">
        <f>IFERROR(D277/C277,"")</f>
        <v/>
      </c>
      <c r="M277">
        <f>IFERROR(E277/F277,"")</f>
        <v/>
      </c>
      <c r="N277" t="inlineStr"/>
      <c r="O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>
        <f>G278-H278</f>
        <v/>
      </c>
      <c r="J278">
        <f>IFERROR(G278/E278,"")</f>
        <v/>
      </c>
      <c r="K278">
        <f>IFERROR(H278/G278,"")</f>
        <v/>
      </c>
      <c r="L278">
        <f>IFERROR(D278/C278,"")</f>
        <v/>
      </c>
      <c r="M278">
        <f>IFERROR(E278/F278,"")</f>
        <v/>
      </c>
      <c r="N278" t="inlineStr"/>
      <c r="O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>
        <f>G279-H279</f>
        <v/>
      </c>
      <c r="J279">
        <f>IFERROR(G279/E279,"")</f>
        <v/>
      </c>
      <c r="K279">
        <f>IFERROR(H279/G279,"")</f>
        <v/>
      </c>
      <c r="L279">
        <f>IFERROR(D279/C279,"")</f>
        <v/>
      </c>
      <c r="M279">
        <f>IFERROR(E279/F279,"")</f>
        <v/>
      </c>
      <c r="N279" t="inlineStr"/>
      <c r="O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>
        <f>G280-H280</f>
        <v/>
      </c>
      <c r="J280">
        <f>IFERROR(G280/E280,"")</f>
        <v/>
      </c>
      <c r="K280">
        <f>IFERROR(H280/G280,"")</f>
        <v/>
      </c>
      <c r="L280">
        <f>IFERROR(D280/C280,"")</f>
        <v/>
      </c>
      <c r="M280">
        <f>IFERROR(E280/F280,"")</f>
        <v/>
      </c>
      <c r="N280" t="inlineStr"/>
      <c r="O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>
        <f>G281-H281</f>
        <v/>
      </c>
      <c r="J281">
        <f>IFERROR(G281/E281,"")</f>
        <v/>
      </c>
      <c r="K281">
        <f>IFERROR(H281/G281,"")</f>
        <v/>
      </c>
      <c r="L281">
        <f>IFERROR(D281/C281,"")</f>
        <v/>
      </c>
      <c r="M281">
        <f>IFERROR(E281/F281,"")</f>
        <v/>
      </c>
      <c r="N281" t="inlineStr"/>
      <c r="O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>
        <f>G282-H282</f>
        <v/>
      </c>
      <c r="J282">
        <f>IFERROR(G282/E282,"")</f>
        <v/>
      </c>
      <c r="K282">
        <f>IFERROR(H282/G282,"")</f>
        <v/>
      </c>
      <c r="L282">
        <f>IFERROR(D282/C282,"")</f>
        <v/>
      </c>
      <c r="M282">
        <f>IFERROR(E282/F282,"")</f>
        <v/>
      </c>
      <c r="N282" t="inlineStr"/>
      <c r="O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>
        <f>G283-H283</f>
        <v/>
      </c>
      <c r="J283">
        <f>IFERROR(G283/E283,"")</f>
        <v/>
      </c>
      <c r="K283">
        <f>IFERROR(H283/G283,"")</f>
        <v/>
      </c>
      <c r="L283">
        <f>IFERROR(D283/C283,"")</f>
        <v/>
      </c>
      <c r="M283">
        <f>IFERROR(E283/F283,"")</f>
        <v/>
      </c>
      <c r="N283" t="inlineStr"/>
      <c r="O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>
        <f>G284-H284</f>
        <v/>
      </c>
      <c r="J284">
        <f>IFERROR(G284/E284,"")</f>
        <v/>
      </c>
      <c r="K284">
        <f>IFERROR(H284/G284,"")</f>
        <v/>
      </c>
      <c r="L284">
        <f>IFERROR(D284/C284,"")</f>
        <v/>
      </c>
      <c r="M284">
        <f>IFERROR(E284/F284,"")</f>
        <v/>
      </c>
      <c r="N284" t="inlineStr"/>
      <c r="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>
        <f>G285-H285</f>
        <v/>
      </c>
      <c r="J285">
        <f>IFERROR(G285/E285,"")</f>
        <v/>
      </c>
      <c r="K285">
        <f>IFERROR(H285/G285,"")</f>
        <v/>
      </c>
      <c r="L285">
        <f>IFERROR(D285/C285,"")</f>
        <v/>
      </c>
      <c r="M285">
        <f>IFERROR(E285/F285,"")</f>
        <v/>
      </c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>
        <f>G286-H286</f>
        <v/>
      </c>
      <c r="J286">
        <f>IFERROR(G286/E286,"")</f>
        <v/>
      </c>
      <c r="K286">
        <f>IFERROR(H286/G286,"")</f>
        <v/>
      </c>
      <c r="L286">
        <f>IFERROR(D286/C286,"")</f>
        <v/>
      </c>
      <c r="M286">
        <f>IFERROR(E286/F286,"")</f>
        <v/>
      </c>
      <c r="N286" t="inlineStr"/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>
        <f>G287-H287</f>
        <v/>
      </c>
      <c r="J287">
        <f>IFERROR(G287/E287,"")</f>
        <v/>
      </c>
      <c r="K287">
        <f>IFERROR(H287/G287,"")</f>
        <v/>
      </c>
      <c r="L287">
        <f>IFERROR(D287/C287,"")</f>
        <v/>
      </c>
      <c r="M287">
        <f>IFERROR(E287/F287,"")</f>
        <v/>
      </c>
      <c r="N287" t="inlineStr"/>
      <c r="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>
        <f>G288-H288</f>
        <v/>
      </c>
      <c r="J288">
        <f>IFERROR(G288/E288,"")</f>
        <v/>
      </c>
      <c r="K288">
        <f>IFERROR(H288/G288,"")</f>
        <v/>
      </c>
      <c r="L288">
        <f>IFERROR(D288/C288,"")</f>
        <v/>
      </c>
      <c r="M288">
        <f>IFERROR(E288/F288,"")</f>
        <v/>
      </c>
      <c r="N288" t="inlineStr"/>
      <c r="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>
        <f>G289-H289</f>
        <v/>
      </c>
      <c r="J289">
        <f>IFERROR(G289/E289,"")</f>
        <v/>
      </c>
      <c r="K289">
        <f>IFERROR(H289/G289,"")</f>
        <v/>
      </c>
      <c r="L289">
        <f>IFERROR(D289/C289,"")</f>
        <v/>
      </c>
      <c r="M289">
        <f>IFERROR(E289/F289,"")</f>
        <v/>
      </c>
      <c r="N289" t="inlineStr"/>
      <c r="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>
        <f>G290-H290</f>
        <v/>
      </c>
      <c r="J290">
        <f>IFERROR(G290/E290,"")</f>
        <v/>
      </c>
      <c r="K290">
        <f>IFERROR(H290/G290,"")</f>
        <v/>
      </c>
      <c r="L290">
        <f>IFERROR(D290/C290,"")</f>
        <v/>
      </c>
      <c r="M290">
        <f>IFERROR(E290/F290,"")</f>
        <v/>
      </c>
      <c r="N290" t="inlineStr"/>
      <c r="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>
        <f>G291-H291</f>
        <v/>
      </c>
      <c r="J291">
        <f>IFERROR(G291/E291,"")</f>
        <v/>
      </c>
      <c r="K291">
        <f>IFERROR(H291/G291,"")</f>
        <v/>
      </c>
      <c r="L291">
        <f>IFERROR(D291/C291,"")</f>
        <v/>
      </c>
      <c r="M291">
        <f>IFERROR(E291/F291,"")</f>
        <v/>
      </c>
      <c r="N291" t="inlineStr"/>
      <c r="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>
        <f>G292-H292</f>
        <v/>
      </c>
      <c r="J292">
        <f>IFERROR(G292/E292,"")</f>
        <v/>
      </c>
      <c r="K292">
        <f>IFERROR(H292/G292,"")</f>
        <v/>
      </c>
      <c r="L292">
        <f>IFERROR(D292/C292,"")</f>
        <v/>
      </c>
      <c r="M292">
        <f>IFERROR(E292/F292,"")</f>
        <v/>
      </c>
      <c r="N292" t="inlineStr"/>
      <c r="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>
        <f>G293-H293</f>
        <v/>
      </c>
      <c r="J293">
        <f>IFERROR(G293/E293,"")</f>
        <v/>
      </c>
      <c r="K293">
        <f>IFERROR(H293/G293,"")</f>
        <v/>
      </c>
      <c r="L293">
        <f>IFERROR(D293/C293,"")</f>
        <v/>
      </c>
      <c r="M293">
        <f>IFERROR(E293/F293,"")</f>
        <v/>
      </c>
      <c r="N293" t="inlineStr"/>
      <c r="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>
        <f>G294-H294</f>
        <v/>
      </c>
      <c r="J294">
        <f>IFERROR(G294/E294,"")</f>
        <v/>
      </c>
      <c r="K294">
        <f>IFERROR(H294/G294,"")</f>
        <v/>
      </c>
      <c r="L294">
        <f>IFERROR(D294/C294,"")</f>
        <v/>
      </c>
      <c r="M294">
        <f>IFERROR(E294/F294,"")</f>
        <v/>
      </c>
      <c r="N294" t="inlineStr"/>
      <c r="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>
        <f>G295-H295</f>
        <v/>
      </c>
      <c r="J295">
        <f>IFERROR(G295/E295,"")</f>
        <v/>
      </c>
      <c r="K295">
        <f>IFERROR(H295/G295,"")</f>
        <v/>
      </c>
      <c r="L295">
        <f>IFERROR(D295/C295,"")</f>
        <v/>
      </c>
      <c r="M295">
        <f>IFERROR(E295/F295,"")</f>
        <v/>
      </c>
      <c r="N295" t="inlineStr"/>
      <c r="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>
        <f>G296-H296</f>
        <v/>
      </c>
      <c r="J296">
        <f>IFERROR(G296/E296,"")</f>
        <v/>
      </c>
      <c r="K296">
        <f>IFERROR(H296/G296,"")</f>
        <v/>
      </c>
      <c r="L296">
        <f>IFERROR(D296/C296,"")</f>
        <v/>
      </c>
      <c r="M296">
        <f>IFERROR(E296/F296,"")</f>
        <v/>
      </c>
      <c r="N296" t="inlineStr"/>
      <c r="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>
        <f>G297-H297</f>
        <v/>
      </c>
      <c r="J297">
        <f>IFERROR(G297/E297,"")</f>
        <v/>
      </c>
      <c r="K297">
        <f>IFERROR(H297/G297,"")</f>
        <v/>
      </c>
      <c r="L297">
        <f>IFERROR(D297/C297,"")</f>
        <v/>
      </c>
      <c r="M297">
        <f>IFERROR(E297/F297,"")</f>
        <v/>
      </c>
      <c r="N297" t="inlineStr"/>
      <c r="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>
        <f>G298-H298</f>
        <v/>
      </c>
      <c r="J298">
        <f>IFERROR(G298/E298,"")</f>
        <v/>
      </c>
      <c r="K298">
        <f>IFERROR(H298/G298,"")</f>
        <v/>
      </c>
      <c r="L298">
        <f>IFERROR(D298/C298,"")</f>
        <v/>
      </c>
      <c r="M298">
        <f>IFERROR(E298/F298,"")</f>
        <v/>
      </c>
      <c r="N298" t="inlineStr"/>
      <c r="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>
        <f>G299-H299</f>
        <v/>
      </c>
      <c r="J299">
        <f>IFERROR(G299/E299,"")</f>
        <v/>
      </c>
      <c r="K299">
        <f>IFERROR(H299/G299,"")</f>
        <v/>
      </c>
      <c r="L299">
        <f>IFERROR(D299/C299,"")</f>
        <v/>
      </c>
      <c r="M299">
        <f>IFERROR(E299/F299,"")</f>
        <v/>
      </c>
      <c r="N299" t="inlineStr"/>
      <c r="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>
        <f>G300-H300</f>
        <v/>
      </c>
      <c r="J300">
        <f>IFERROR(G300/E300,"")</f>
        <v/>
      </c>
      <c r="K300">
        <f>IFERROR(H300/G300,"")</f>
        <v/>
      </c>
      <c r="L300">
        <f>IFERROR(D300/C300,"")</f>
        <v/>
      </c>
      <c r="M300">
        <f>IFERROR(E300/F300,"")</f>
        <v/>
      </c>
      <c r="N300" t="inlineStr"/>
      <c r="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>
        <f>G301-H301</f>
        <v/>
      </c>
      <c r="J301">
        <f>IFERROR(G301/E301,"")</f>
        <v/>
      </c>
      <c r="K301">
        <f>IFERROR(H301/G301,"")</f>
        <v/>
      </c>
      <c r="L301">
        <f>IFERROR(D301/C301,"")</f>
        <v/>
      </c>
      <c r="M301">
        <f>IFERROR(E301/F301,"")</f>
        <v/>
      </c>
      <c r="N301" t="inlineStr"/>
      <c r="O3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8" customWidth="1" min="4" max="4"/>
    <col width="14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Code projet</t>
        </is>
      </c>
      <c r="C1" s="1" t="inlineStr">
        <is>
          <t>Risque / Blocage</t>
        </is>
      </c>
      <c r="D1" s="1" t="inlineStr">
        <is>
          <t>Niveau d’alerte</t>
        </is>
      </c>
      <c r="E1" s="1" t="inlineStr">
        <is>
          <t>Responsable</t>
        </is>
      </c>
      <c r="F1" s="1" t="inlineStr">
        <is>
          <t>Action attendue</t>
        </is>
      </c>
      <c r="G1" s="1" t="inlineStr">
        <is>
          <t>Echéance</t>
        </is>
      </c>
      <c r="H1" s="1" t="inlineStr">
        <is>
          <t>Statut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Code projet</t>
        </is>
      </c>
      <c r="C1" s="1" t="inlineStr">
        <is>
          <t>Décision attendue</t>
        </is>
      </c>
      <c r="D1" s="1" t="inlineStr">
        <is>
          <t>Instance</t>
        </is>
      </c>
      <c r="E1" s="1" t="inlineStr">
        <is>
          <t>Responsable</t>
        </is>
      </c>
      <c r="F1" s="1" t="inlineStr">
        <is>
          <t>Echéance</t>
        </is>
      </c>
      <c r="G1" s="1" t="inlineStr">
        <is>
          <t>Statut</t>
        </is>
      </c>
      <c r="H1" s="1" t="inlineStr">
        <is>
          <t>Commentaire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Indicateur</t>
        </is>
      </c>
      <c r="B1" s="1" t="inlineStr">
        <is>
          <t>Formule</t>
        </is>
      </c>
    </row>
    <row r="2">
      <c r="A2" t="inlineStr">
        <is>
          <t>Ecart avancement %</t>
        </is>
      </c>
      <c r="B2" t="inlineStr">
        <is>
          <t>Avancement reel % - Avancement prevu %</t>
        </is>
      </c>
    </row>
    <row r="3">
      <c r="A3" t="inlineStr">
        <is>
          <t>SPI</t>
        </is>
      </c>
      <c r="B3" t="inlineStr">
        <is>
          <t>Avancement reel % / Avancement prevu %</t>
        </is>
      </c>
    </row>
    <row r="4">
      <c r="A4" t="inlineStr">
        <is>
          <t>Valeur acquise</t>
        </is>
      </c>
      <c r="B4" t="inlineStr">
        <is>
          <t>Budget * Avancement reel %</t>
        </is>
      </c>
    </row>
    <row r="5">
      <c r="A5" t="inlineStr">
        <is>
          <t>CPI</t>
        </is>
      </c>
      <c r="B5" t="inlineStr">
        <is>
          <t>Valeur acquise / Depenses</t>
        </is>
      </c>
    </row>
    <row r="6">
      <c r="A6" t="inlineStr">
        <is>
          <t>Impayes</t>
        </is>
      </c>
      <c r="B6" t="inlineStr">
        <is>
          <t>Montant facture - Montant encaisse</t>
        </is>
      </c>
    </row>
    <row r="7">
      <c r="A7" t="inlineStr">
        <is>
          <t>Taux de facturation</t>
        </is>
      </c>
      <c r="B7" t="inlineStr">
        <is>
          <t>Montant facture / Cout marche TTC</t>
        </is>
      </c>
    </row>
    <row r="8">
      <c r="A8" t="inlineStr">
        <is>
          <t>Taux d'encaissement</t>
        </is>
      </c>
      <c r="B8" t="inlineStr">
        <is>
          <t>Montant encaisse / Montant facture</t>
        </is>
      </c>
    </row>
    <row r="9"/>
    <row r="10">
      <c r="A10" s="1" t="inlineStr">
        <is>
          <t>Statut</t>
        </is>
      </c>
      <c r="B10" s="1" t="inlineStr">
        <is>
          <t>Critères d'appréciation</t>
        </is>
      </c>
    </row>
    <row r="11">
      <c r="A11" t="inlineStr">
        <is>
          <t>Vert</t>
        </is>
      </c>
      <c r="B11" t="inlineStr">
        <is>
          <t>Projet maitrise : SPI &gt; 0,95 et CPI &gt; 0,95, sans risque critique identifie</t>
        </is>
      </c>
    </row>
    <row r="12">
      <c r="A12" t="inlineStr">
        <is>
          <t>Orange</t>
        </is>
      </c>
      <c r="B12" t="inlineStr">
        <is>
          <t>Projet sous surveillance : SPI compris entre 0,80 et 0,94 et/ou CPI compris entre 0,80 et 0,94, ou presence de points de vigilance</t>
        </is>
      </c>
    </row>
    <row r="13">
      <c r="A13" t="inlineStr">
        <is>
          <t>Rouge</t>
        </is>
      </c>
      <c r="B13" t="inlineStr">
        <is>
          <t>Projet critique : SPI &lt; 0,80 et/ou CPI &lt; 0,80, ou presence d'un risque critique necessitant un arbitrage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2026-07-01T10:05:06Z</dcterms:created>
  <dcterms:modified xmlns:dcterms="http://purl.org/dc/terms/" xmlns:xsi="http://www.w3.org/2001/XMLSchema-instance" xsi:type="dcterms:W3CDTF">2026-07-01T10:05:06Z</dcterms:modified>
</cp:coreProperties>
</file>